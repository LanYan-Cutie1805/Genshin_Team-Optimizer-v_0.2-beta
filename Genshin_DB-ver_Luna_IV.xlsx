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81ac9b9cbe8e43/Documents/Genshin_DB/"/>
    </mc:Choice>
  </mc:AlternateContent>
  <xr:revisionPtr revIDLastSave="428" documentId="8_{E7BDF113-7326-49B7-9023-4AFDC5DB0972}" xr6:coauthVersionLast="47" xr6:coauthVersionMax="47" xr10:uidLastSave="{011E56F0-2A18-484B-872D-B88A90D0DA03}"/>
  <bookViews>
    <workbookView xWindow="-108" yWindow="-108" windowWidth="23256" windowHeight="12456" firstSheet="1" activeTab="3" xr2:uid="{A841355C-1F39-49C2-8355-511CDF7431A4}"/>
  </bookViews>
  <sheets>
    <sheet name="Dataset (Trial)" sheetId="1" state="hidden" r:id="rId1"/>
    <sheet name="DB_CHARACTER" sheetId="7" r:id="rId2"/>
    <sheet name="DB_EReac" sheetId="11" r:id="rId3"/>
    <sheet name="DB_ROLE" sheetId="13" r:id="rId4"/>
    <sheet name="Radar Chart" sheetId="8" state="hidden" r:id="rId5"/>
  </sheets>
  <definedNames>
    <definedName name="_xlcn.WorksheetConnection_Database2025.xlsxBase_Stats1" hidden="1">Base_Stats</definedName>
    <definedName name="_xlcn.WorksheetConnection_Database2025.xlsxTable1NameSurvivability1" hidden="1">Table1[[Name]:[Survivability]]</definedName>
    <definedName name="_xlcn.WorksheetConnection_Database2025.xlsxTry_21" hidden="1">Try_2[]</definedName>
    <definedName name="Helper">#REF!</definedName>
    <definedName name="Prima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y_2" name="Try_2" connection="WorksheetConnection_Database 2025.xlsx!Try_2"/>
          <x15:modelTable id="Table1  Name   Survivability" name="Table1  Name   Survivability" connection="WorksheetConnection_Database 2025.xlsx!Table1[[Name]:[Survivability]]"/>
          <x15:modelTable id="Primary" name="Primary" connection="WorksheetConnection_Database 2025.xlsx!Primary"/>
          <x15:modelTable id="Base_Stats" name="Base_Stats" connection="WorksheetConnection_Database 2025.xlsx!Base_Stats"/>
        </x15:modelTables>
        <x15:modelRelationships>
          <x15:modelRelationship fromTable="Primary" fromColumn="Name" toTable="Base_Stats" toColumn="Name"/>
          <x15:modelRelationship fromTable="Try_2" fromColumn="Name" toTable="Table1  Name   Survivability" toColumn="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" i="13" l="1"/>
  <c r="A111" i="13"/>
  <c r="A113" i="7"/>
  <c r="A112" i="7"/>
  <c r="A109" i="13"/>
  <c r="A108" i="13"/>
  <c r="A101" i="13"/>
  <c r="A102" i="13"/>
  <c r="A103" i="13"/>
  <c r="A104" i="13"/>
  <c r="A105" i="13"/>
  <c r="A106" i="13"/>
  <c r="A107" i="13"/>
  <c r="A110" i="7"/>
  <c r="A111" i="7"/>
  <c r="A108" i="7"/>
  <c r="A109" i="7"/>
  <c r="A104" i="7"/>
  <c r="A105" i="7"/>
  <c r="A106" i="7"/>
  <c r="A107" i="7"/>
  <c r="A96" i="13"/>
  <c r="A97" i="13"/>
  <c r="A98" i="13"/>
  <c r="A99" i="13"/>
  <c r="A100" i="13"/>
  <c r="A98" i="7"/>
  <c r="A99" i="7"/>
  <c r="A100" i="7"/>
  <c r="A101" i="7"/>
  <c r="A102" i="7"/>
  <c r="A103" i="7"/>
  <c r="C95" i="13"/>
  <c r="C2" i="13"/>
  <c r="C3" i="13"/>
  <c r="C4" i="13"/>
  <c r="C57" i="13"/>
  <c r="C92" i="13"/>
  <c r="C93" i="13"/>
  <c r="C94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56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8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C7" i="13"/>
  <c r="C9" i="13"/>
  <c r="C10" i="13"/>
  <c r="C11" i="13"/>
  <c r="C12" i="13"/>
  <c r="C13" i="13"/>
  <c r="C14" i="13"/>
  <c r="C15" i="13"/>
  <c r="C16" i="13"/>
  <c r="C17" i="13"/>
  <c r="C5" i="13"/>
  <c r="A95" i="13"/>
  <c r="A85" i="13"/>
  <c r="A86" i="13"/>
  <c r="A87" i="13"/>
  <c r="A88" i="13"/>
  <c r="A89" i="13"/>
  <c r="A90" i="13"/>
  <c r="A91" i="13"/>
  <c r="A57" i="13"/>
  <c r="A92" i="13"/>
  <c r="A93" i="13"/>
  <c r="A94" i="13"/>
  <c r="A75" i="13"/>
  <c r="A76" i="13"/>
  <c r="A77" i="13"/>
  <c r="A78" i="13"/>
  <c r="A79" i="13"/>
  <c r="A80" i="13"/>
  <c r="A81" i="13"/>
  <c r="A82" i="13"/>
  <c r="A83" i="13"/>
  <c r="A84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48" i="13"/>
  <c r="A49" i="13"/>
  <c r="A50" i="13"/>
  <c r="A51" i="13"/>
  <c r="A52" i="13"/>
  <c r="A53" i="13"/>
  <c r="A54" i="13"/>
  <c r="A55" i="13"/>
  <c r="A8" i="13"/>
  <c r="A56" i="13"/>
  <c r="A58" i="13"/>
  <c r="A59" i="13"/>
  <c r="A60" i="13"/>
  <c r="A61" i="13"/>
  <c r="A62" i="13"/>
  <c r="A3" i="13"/>
  <c r="A4" i="13"/>
  <c r="A5" i="13"/>
  <c r="A6" i="13"/>
  <c r="A7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2" i="13"/>
  <c r="A97" i="7"/>
  <c r="A48" i="7"/>
  <c r="A37" i="7"/>
  <c r="A64" i="7"/>
  <c r="A52" i="7"/>
  <c r="A56" i="7"/>
  <c r="A2" i="7"/>
  <c r="A16" i="7"/>
  <c r="A63" i="7"/>
  <c r="A74" i="7"/>
  <c r="A80" i="7"/>
  <c r="A90" i="7"/>
  <c r="A91" i="7"/>
  <c r="A25" i="7"/>
  <c r="A49" i="7"/>
  <c r="A34" i="7"/>
  <c r="A73" i="7"/>
  <c r="A59" i="7"/>
  <c r="A17" i="7"/>
  <c r="A18" i="7"/>
  <c r="A93" i="7"/>
  <c r="A19" i="7"/>
  <c r="A41" i="7"/>
  <c r="A20" i="7"/>
  <c r="A32" i="7"/>
  <c r="A42" i="7"/>
  <c r="A38" i="7"/>
  <c r="A84" i="7"/>
  <c r="A47" i="7"/>
  <c r="A53" i="7"/>
  <c r="A85" i="7"/>
  <c r="A21" i="7"/>
  <c r="A43" i="7"/>
  <c r="A44" i="7"/>
  <c r="A88" i="7"/>
  <c r="A69" i="7"/>
  <c r="A14" i="7"/>
  <c r="A40" i="7"/>
  <c r="A51" i="7"/>
  <c r="A60" i="7"/>
  <c r="A15" i="7"/>
  <c r="A71" i="7"/>
  <c r="A72" i="7"/>
  <c r="A96" i="7"/>
  <c r="A66" i="7"/>
  <c r="A4" i="7"/>
  <c r="A89" i="7"/>
  <c r="A78" i="7"/>
  <c r="A11" i="7"/>
  <c r="A87" i="7"/>
  <c r="A35" i="7"/>
  <c r="A12" i="7"/>
  <c r="A68" i="7"/>
  <c r="A81" i="7"/>
  <c r="A8" i="7"/>
  <c r="A94" i="7"/>
  <c r="A83" i="7"/>
  <c r="A54" i="7"/>
  <c r="A58" i="7"/>
  <c r="A65" i="7"/>
  <c r="A9" i="7"/>
  <c r="A24" i="7"/>
  <c r="A55" i="7"/>
  <c r="A86" i="7"/>
  <c r="A33" i="7"/>
  <c r="A62" i="7"/>
  <c r="A10" i="7"/>
  <c r="A70" i="7"/>
  <c r="A76" i="7"/>
  <c r="A79" i="7"/>
  <c r="A46" i="7"/>
  <c r="A30" i="7"/>
  <c r="C41" i="8"/>
  <c r="D41" i="8"/>
  <c r="C40" i="8"/>
  <c r="D40" i="8"/>
  <c r="B41" i="8"/>
  <c r="B42" i="8"/>
  <c r="C35" i="8"/>
  <c r="D35" i="8"/>
  <c r="C34" i="8"/>
  <c r="C43" i="8" s="1"/>
  <c r="D34" i="8"/>
  <c r="D43" i="8" s="1"/>
  <c r="B34" i="8"/>
  <c r="B43" i="8" s="1"/>
  <c r="B35" i="8"/>
  <c r="D20" i="8"/>
  <c r="D17" i="8"/>
  <c r="B18" i="8"/>
  <c r="B19" i="8"/>
  <c r="B20" i="8"/>
  <c r="B17" i="8"/>
  <c r="B12" i="8"/>
  <c r="B11" i="8"/>
  <c r="D18" i="8" s="1"/>
  <c r="B10" i="8"/>
  <c r="B9" i="8"/>
  <c r="C20" i="8" s="1"/>
  <c r="B8" i="8"/>
  <c r="B7" i="8"/>
  <c r="A27" i="7"/>
  <c r="A28" i="7"/>
  <c r="A39" i="7"/>
  <c r="A45" i="7"/>
  <c r="A82" i="7"/>
  <c r="A67" i="7"/>
  <c r="A5" i="7"/>
  <c r="A6" i="7"/>
  <c r="A7" i="7"/>
  <c r="A57" i="7"/>
  <c r="A75" i="7"/>
  <c r="A92" i="7"/>
  <c r="A77" i="7"/>
  <c r="A95" i="7"/>
  <c r="A23" i="7"/>
  <c r="A22" i="7"/>
  <c r="A36" i="7"/>
  <c r="A50" i="7"/>
  <c r="A26" i="7"/>
  <c r="A61" i="7"/>
  <c r="A3" i="7"/>
  <c r="A31" i="7"/>
  <c r="A29" i="7"/>
  <c r="A13" i="7"/>
  <c r="A4" i="1"/>
  <c r="A5" i="1"/>
  <c r="A6" i="1"/>
  <c r="A7" i="1"/>
  <c r="A8" i="1"/>
  <c r="A9" i="1"/>
  <c r="A10" i="1"/>
  <c r="A11" i="1"/>
  <c r="A12" i="1"/>
  <c r="A13" i="1"/>
  <c r="A3" i="1"/>
  <c r="C19" i="8" l="1"/>
  <c r="B40" i="8"/>
  <c r="D42" i="8"/>
  <c r="C42" i="8"/>
  <c r="C17" i="8"/>
  <c r="C18" i="8"/>
  <c r="D1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1015E-D173-46EE-AA9F-BEE23E640E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376822-440B-41D6-804B-48EDDC329B81}" name="WorksheetConnection_Database 2025.xlsx!Base_Stats" type="102" refreshedVersion="8" minRefreshableVersion="5">
    <extLst>
      <ext xmlns:x15="http://schemas.microsoft.com/office/spreadsheetml/2010/11/main" uri="{DE250136-89BD-433C-8126-D09CA5730AF9}">
        <x15:connection id="Base_Stats">
          <x15:rangePr sourceName="_xlcn.WorksheetConnection_Database2025.xlsxBase_Stats1"/>
        </x15:connection>
      </ext>
    </extLst>
  </connection>
  <connection id="3" xr16:uid="{ECEBEE92-F933-4F69-ADBD-240B83687C85}" name="WorksheetConnection_Database 2025.xlsx!Primary" type="102" refreshedVersion="8" minRefreshableVersion="5">
    <extLst>
      <ext xmlns:x15="http://schemas.microsoft.com/office/spreadsheetml/2010/11/main" uri="{DE250136-89BD-433C-8126-D09CA5730AF9}">
        <x15:connection id="Primary" autoDelete="1">
          <x15:rangePr sourceName="Primary"/>
        </x15:connection>
      </ext>
    </extLst>
  </connection>
  <connection id="4" xr16:uid="{092E3E8D-5D25-4D59-BE38-D0CC853275FD}" name="WorksheetConnection_Database 2025.xlsx!Table1[[Name]:[Survivability]]" type="102" refreshedVersion="8" minRefreshableVersion="5">
    <extLst>
      <ext xmlns:x15="http://schemas.microsoft.com/office/spreadsheetml/2010/11/main" uri="{DE250136-89BD-433C-8126-D09CA5730AF9}">
        <x15:connection id="Table1  Name   Survivability" autoDelete="1">
          <x15:rangePr sourceName="_xlcn.WorksheetConnection_Database2025.xlsxTable1NameSurvivability1"/>
        </x15:connection>
      </ext>
    </extLst>
  </connection>
  <connection id="5" xr16:uid="{2BC4E799-FFDC-49CF-8670-4B4462455658}" name="WorksheetConnection_Database 2025.xlsx!Try_2" type="102" refreshedVersion="8" minRefreshableVersion="5">
    <extLst>
      <ext xmlns:x15="http://schemas.microsoft.com/office/spreadsheetml/2010/11/main" uri="{DE250136-89BD-433C-8126-D09CA5730AF9}">
        <x15:connection id="Try_2">
          <x15:rangePr sourceName="_xlcn.WorksheetConnection_Database2025.xlsxTry_21"/>
        </x15:connection>
      </ext>
    </extLst>
  </connection>
</connections>
</file>

<file path=xl/sharedStrings.xml><?xml version="1.0" encoding="utf-8"?>
<sst xmlns="http://schemas.openxmlformats.org/spreadsheetml/2006/main" count="1619" uniqueCount="229">
  <si>
    <t>Name</t>
  </si>
  <si>
    <t>No</t>
  </si>
  <si>
    <t>Date of Birth</t>
  </si>
  <si>
    <t>Element</t>
  </si>
  <si>
    <t>Weapon</t>
  </si>
  <si>
    <t>Picture</t>
  </si>
  <si>
    <t>Release Date</t>
  </si>
  <si>
    <t>Release Version</t>
  </si>
  <si>
    <t>Keqing</t>
  </si>
  <si>
    <t>Lan Yan</t>
  </si>
  <si>
    <t>Venti</t>
  </si>
  <si>
    <t>Kamisato Ayaka</t>
  </si>
  <si>
    <t>Zhongli</t>
  </si>
  <si>
    <t>Nahida</t>
  </si>
  <si>
    <t>Amber</t>
  </si>
  <si>
    <t>Kamisato Ayato</t>
  </si>
  <si>
    <t>Xiao</t>
  </si>
  <si>
    <t>Ganyu</t>
  </si>
  <si>
    <t>Liyue</t>
  </si>
  <si>
    <t>Monstadt</t>
  </si>
  <si>
    <t>Region</t>
  </si>
  <si>
    <t>Inazuma</t>
  </si>
  <si>
    <t>Sumeru</t>
  </si>
  <si>
    <t>Gendre</t>
  </si>
  <si>
    <t>Female</t>
  </si>
  <si>
    <t>Male</t>
  </si>
  <si>
    <t>ATK</t>
  </si>
  <si>
    <t>Base Stats</t>
  </si>
  <si>
    <t>HP</t>
  </si>
  <si>
    <t>DEF</t>
  </si>
  <si>
    <t>Quality (star)</t>
  </si>
  <si>
    <t>ELECTRO</t>
  </si>
  <si>
    <t>Sword</t>
  </si>
  <si>
    <t>1.0</t>
  </si>
  <si>
    <t>2.0</t>
  </si>
  <si>
    <t>ANEMO</t>
  </si>
  <si>
    <t>5.3</t>
  </si>
  <si>
    <t>Catalyst</t>
  </si>
  <si>
    <t>PYRO</t>
  </si>
  <si>
    <t>1.3</t>
  </si>
  <si>
    <t>Polearm</t>
  </si>
  <si>
    <t>Xiangling Mao</t>
  </si>
  <si>
    <t>Bow</t>
  </si>
  <si>
    <t>1.2</t>
  </si>
  <si>
    <t>CRYO</t>
  </si>
  <si>
    <t>HYDRO</t>
  </si>
  <si>
    <t>2.6</t>
  </si>
  <si>
    <t>GEO</t>
  </si>
  <si>
    <t>1.1</t>
  </si>
  <si>
    <t>DENDRO</t>
  </si>
  <si>
    <t>3.2</t>
  </si>
  <si>
    <t>Row Labels</t>
  </si>
  <si>
    <t>HP Min</t>
  </si>
  <si>
    <t>HP Max</t>
  </si>
  <si>
    <t>ATK Min</t>
  </si>
  <si>
    <t>ATK Max</t>
  </si>
  <si>
    <t>DEF Min</t>
  </si>
  <si>
    <t>DEF Max</t>
  </si>
  <si>
    <t>MIN</t>
  </si>
  <si>
    <t>MAX</t>
  </si>
  <si>
    <t>NORMALIZED</t>
  </si>
  <si>
    <t>PARTY</t>
  </si>
  <si>
    <t>Albedo</t>
  </si>
  <si>
    <t>Alhaitham</t>
  </si>
  <si>
    <t xml:space="preserve">Picture </t>
  </si>
  <si>
    <t>Aloy</t>
  </si>
  <si>
    <t>2.1</t>
  </si>
  <si>
    <t>Arataki Itto</t>
  </si>
  <si>
    <t>Arlecchino</t>
  </si>
  <si>
    <t>Baizhu</t>
  </si>
  <si>
    <t>Beidou</t>
  </si>
  <si>
    <t>Bennett</t>
  </si>
  <si>
    <t>Candace</t>
  </si>
  <si>
    <t>Charlotte</t>
  </si>
  <si>
    <t>Chasca</t>
  </si>
  <si>
    <t>Chevreuse</t>
  </si>
  <si>
    <t>Chiori</t>
  </si>
  <si>
    <t>Chongyun</t>
  </si>
  <si>
    <t>Citlali</t>
  </si>
  <si>
    <t>Clorinde</t>
  </si>
  <si>
    <t>Collei</t>
  </si>
  <si>
    <t>Cyno</t>
  </si>
  <si>
    <t>Dehya</t>
  </si>
  <si>
    <t>Diluc</t>
  </si>
  <si>
    <t>Diona</t>
  </si>
  <si>
    <t>Dori</t>
  </si>
  <si>
    <t>Emilie</t>
  </si>
  <si>
    <t>Faruzan</t>
  </si>
  <si>
    <t>Freminet</t>
  </si>
  <si>
    <t>Furina</t>
  </si>
  <si>
    <t>Gaming</t>
  </si>
  <si>
    <t>Gorou</t>
  </si>
  <si>
    <t>Hu Tao</t>
  </si>
  <si>
    <t>Jean</t>
  </si>
  <si>
    <t>Kachina</t>
  </si>
  <si>
    <t>Kaedehara Kazuha</t>
  </si>
  <si>
    <t>Kaeya</t>
  </si>
  <si>
    <t>Claymore</t>
  </si>
  <si>
    <t>2.3</t>
  </si>
  <si>
    <t>Snezhnaya</t>
  </si>
  <si>
    <t>4.6</t>
  </si>
  <si>
    <t>3.6</t>
  </si>
  <si>
    <t>Barbara Pegg</t>
  </si>
  <si>
    <t>3.1</t>
  </si>
  <si>
    <t>Fontaine</t>
  </si>
  <si>
    <t>4.2</t>
  </si>
  <si>
    <t>Natlan</t>
  </si>
  <si>
    <t>5.2</t>
  </si>
  <si>
    <t>4.3</t>
  </si>
  <si>
    <t>4.5</t>
  </si>
  <si>
    <t>4.7</t>
  </si>
  <si>
    <t>3.0</t>
  </si>
  <si>
    <t>3.5</t>
  </si>
  <si>
    <t>4.8</t>
  </si>
  <si>
    <t>Eula Lawrance</t>
  </si>
  <si>
    <t>1.5</t>
  </si>
  <si>
    <t>3.3</t>
  </si>
  <si>
    <t>4.4</t>
  </si>
  <si>
    <t>Fischl (Amy)</t>
  </si>
  <si>
    <t>4.0</t>
  </si>
  <si>
    <t>5.0</t>
  </si>
  <si>
    <t>1.6</t>
  </si>
  <si>
    <t>Kaveh</t>
  </si>
  <si>
    <t>Kinich</t>
  </si>
  <si>
    <t>Kirara</t>
  </si>
  <si>
    <t>3.7</t>
  </si>
  <si>
    <t>Klee</t>
  </si>
  <si>
    <t>First Element</t>
  </si>
  <si>
    <t>Second Element</t>
  </si>
  <si>
    <t>Effect</t>
  </si>
  <si>
    <t>OVERLOAD</t>
  </si>
  <si>
    <t>BURNING</t>
  </si>
  <si>
    <t>SWIRL</t>
  </si>
  <si>
    <t>CRYSTALIZE</t>
  </si>
  <si>
    <t>NONE</t>
  </si>
  <si>
    <t>ELECTRO-CHARGED</t>
  </si>
  <si>
    <t>FROZEN</t>
  </si>
  <si>
    <t>BLOOM</t>
  </si>
  <si>
    <t>SUPERCONDUCT</t>
  </si>
  <si>
    <t>QUICKEN</t>
  </si>
  <si>
    <t>Kujou Sara</t>
  </si>
  <si>
    <t>2.7</t>
  </si>
  <si>
    <t>Layla</t>
  </si>
  <si>
    <t>Lisa</t>
  </si>
  <si>
    <t>Lynette</t>
  </si>
  <si>
    <t>Lyney</t>
  </si>
  <si>
    <t>Mavuika</t>
  </si>
  <si>
    <t>Mika Schmidt</t>
  </si>
  <si>
    <t>Astrologist Mona Megistus</t>
  </si>
  <si>
    <t>Mualani</t>
  </si>
  <si>
    <t>Navia Caspar</t>
  </si>
  <si>
    <t>Neuvillette</t>
  </si>
  <si>
    <t>4.1</t>
  </si>
  <si>
    <t>Nilou</t>
  </si>
  <si>
    <t>Ningguang</t>
  </si>
  <si>
    <t>Noelle</t>
  </si>
  <si>
    <t>Ororon</t>
  </si>
  <si>
    <t>Qiqi</t>
  </si>
  <si>
    <t>Raiden Ei</t>
  </si>
  <si>
    <t>Razor</t>
  </si>
  <si>
    <t>Rosaria</t>
  </si>
  <si>
    <t>1.4</t>
  </si>
  <si>
    <t>Sangonomiya Kokomi</t>
  </si>
  <si>
    <t>Sayu</t>
  </si>
  <si>
    <t>Sethos</t>
  </si>
  <si>
    <t>Shenhe</t>
  </si>
  <si>
    <t>2.4</t>
  </si>
  <si>
    <t>Shikanoin Heizou</t>
  </si>
  <si>
    <t>2.8</t>
  </si>
  <si>
    <t>Sigewinne</t>
  </si>
  <si>
    <t>Sucrose</t>
  </si>
  <si>
    <t>Tartaglia (Ajax)</t>
  </si>
  <si>
    <t>2.2</t>
  </si>
  <si>
    <t>Thoma</t>
  </si>
  <si>
    <t>Tighnari</t>
  </si>
  <si>
    <t>Aether</t>
  </si>
  <si>
    <t>Lumine</t>
  </si>
  <si>
    <t>Wanderer</t>
  </si>
  <si>
    <t>Wriothesley</t>
  </si>
  <si>
    <t>Xianyun</t>
  </si>
  <si>
    <t>Xilonen</t>
  </si>
  <si>
    <t>5.1</t>
  </si>
  <si>
    <t>Xingqiu</t>
  </si>
  <si>
    <t>Xinyan</t>
  </si>
  <si>
    <t>Yae Miko</t>
  </si>
  <si>
    <t>2.5</t>
  </si>
  <si>
    <t>Yanfei</t>
  </si>
  <si>
    <t>Yaoyao</t>
  </si>
  <si>
    <t>Yelan</t>
  </si>
  <si>
    <t>Yun Jin</t>
  </si>
  <si>
    <t>Yumemizuki Mizuki</t>
  </si>
  <si>
    <t>3.4</t>
  </si>
  <si>
    <t>Naganohara Yoimiya</t>
  </si>
  <si>
    <t>5.4</t>
  </si>
  <si>
    <t>On-field</t>
  </si>
  <si>
    <t>Off-field</t>
  </si>
  <si>
    <t>DPS</t>
  </si>
  <si>
    <t>Support</t>
  </si>
  <si>
    <t>Survivability</t>
  </si>
  <si>
    <t>Yes</t>
  </si>
  <si>
    <t>Kuki Shinobu</t>
  </si>
  <si>
    <t>Iansan</t>
  </si>
  <si>
    <t>5.5</t>
  </si>
  <si>
    <t>Varesa</t>
  </si>
  <si>
    <t>Escoffier</t>
  </si>
  <si>
    <t>5.6</t>
  </si>
  <si>
    <t>Ifa</t>
  </si>
  <si>
    <t>Dahlia</t>
  </si>
  <si>
    <t>5.7</t>
  </si>
  <si>
    <t>Skirk</t>
  </si>
  <si>
    <t>Ineffa</t>
  </si>
  <si>
    <t>Nod-Krai</t>
  </si>
  <si>
    <t>5.8</t>
  </si>
  <si>
    <t>Aino</t>
  </si>
  <si>
    <t>Luna I</t>
  </si>
  <si>
    <t>Lauma</t>
  </si>
  <si>
    <t>Nefer</t>
  </si>
  <si>
    <t>Durin</t>
  </si>
  <si>
    <t>Jahoda</t>
  </si>
  <si>
    <t>Kyryll Chudomirovich Flins</t>
  </si>
  <si>
    <t>Luna II</t>
  </si>
  <si>
    <t>Luna III</t>
  </si>
  <si>
    <t>Luna IV</t>
  </si>
  <si>
    <t>Columbina Hyposelenia</t>
  </si>
  <si>
    <t>Illuga</t>
  </si>
  <si>
    <t>Zibai</t>
  </si>
  <si>
    <t xml:space="preserve">VAPORIZE </t>
  </si>
  <si>
    <t xml:space="preserve">MELT 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</si>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</sst>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theme="7" tint="-0.49998474074526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9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Liyue Characters (Normalized)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Chart'!$A$17</c:f>
              <c:strCache>
                <c:ptCount val="1"/>
                <c:pt idx="0">
                  <c:v>Ganyu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Chart'!$B$16:$D$16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Chart'!$B$17:$D$17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3.0875537017880456E-2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8-402A-B641-8B41C827EB09}"/>
            </c:ext>
          </c:extLst>
        </c:ser>
        <c:ser>
          <c:idx val="1"/>
          <c:order val="1"/>
          <c:tx>
            <c:strRef>
              <c:f>'Radar Chart'!$A$18</c:f>
              <c:strCache>
                <c:ptCount val="1"/>
                <c:pt idx="0">
                  <c:v>Keqing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Chart'!$B$16:$D$16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Chart'!$B$18:$D$18</c:f>
              <c:numCache>
                <c:formatCode>General</c:formatCode>
                <c:ptCount val="3"/>
                <c:pt idx="0">
                  <c:v>1</c:v>
                </c:pt>
                <c:pt idx="1">
                  <c:v>0.87054197165550529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8-402A-B641-8B41C827EB09}"/>
            </c:ext>
          </c:extLst>
        </c:ser>
        <c:ser>
          <c:idx val="2"/>
          <c:order val="2"/>
          <c:tx>
            <c:strRef>
              <c:f>'Radar Chart'!$A$19</c:f>
              <c:strCache>
                <c:ptCount val="1"/>
                <c:pt idx="0">
                  <c:v>Lan Yan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Chart'!$B$16:$D$16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Chart'!$B$19:$D$19</c:f>
              <c:numCache>
                <c:formatCode>General</c:formatCode>
                <c:ptCount val="3"/>
                <c:pt idx="0">
                  <c:v>4.8043950886648111E-2</c:v>
                </c:pt>
                <c:pt idx="1">
                  <c:v>0.29714997663915255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8-402A-B641-8B41C827EB09}"/>
            </c:ext>
          </c:extLst>
        </c:ser>
        <c:ser>
          <c:idx val="3"/>
          <c:order val="3"/>
          <c:tx>
            <c:strRef>
              <c:f>'Radar Chart'!$A$20</c:f>
              <c:strCache>
                <c:ptCount val="1"/>
                <c:pt idx="0">
                  <c:v>Xiangling Mao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Chart'!$B$16:$D$16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Chart'!$B$20:$D$20</c:f>
              <c:numCache>
                <c:formatCode>General</c:formatCode>
                <c:ptCount val="3"/>
                <c:pt idx="0">
                  <c:v>0.57939815786079396</c:v>
                </c:pt>
                <c:pt idx="1">
                  <c:v>0</c:v>
                </c:pt>
                <c:pt idx="2">
                  <c:v>0.5477306277817251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88-402A-B641-8B41C827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877711"/>
        <c:axId val="1118871951"/>
      </c:radarChart>
      <c:catAx>
        <c:axId val="111887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71951"/>
        <c:crosses val="autoZero"/>
        <c:auto val="1"/>
        <c:lblAlgn val="ctr"/>
        <c:lblOffset val="100"/>
        <c:noMultiLvlLbl val="0"/>
      </c:catAx>
      <c:valAx>
        <c:axId val="11188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7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1968503937003"/>
          <c:y val="0.16010425780110821"/>
          <c:w val="0.54673840769903759"/>
          <c:h val="0.76308253135024784"/>
        </c:manualLayout>
      </c:layout>
      <c:radarChart>
        <c:radarStyle val="marker"/>
        <c:varyColors val="0"/>
        <c:ser>
          <c:idx val="0"/>
          <c:order val="0"/>
          <c:tx>
            <c:strRef>
              <c:f>'Radar Chart'!$A$40</c:f>
              <c:strCache>
                <c:ptCount val="1"/>
                <c:pt idx="0">
                  <c:v>Xiao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Chart'!$B$39:$D$39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Chart'!$B$40:$D$40</c:f>
              <c:numCache>
                <c:formatCode>General</c:formatCode>
                <c:ptCount val="3"/>
                <c:pt idx="0">
                  <c:v>0.70948072180218091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26D-90A0-824C668E3FF0}"/>
            </c:ext>
          </c:extLst>
        </c:ser>
        <c:ser>
          <c:idx val="1"/>
          <c:order val="1"/>
          <c:tx>
            <c:strRef>
              <c:f>'Radar Chart'!$A$41</c:f>
              <c:strCache>
                <c:ptCount val="1"/>
                <c:pt idx="0">
                  <c:v>Kamisato Ayato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Chart'!$B$39:$D$39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Chart'!$B$41:$D$41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0.81818181818181812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B-426D-90A0-824C668E3FF0}"/>
            </c:ext>
          </c:extLst>
        </c:ser>
        <c:ser>
          <c:idx val="2"/>
          <c:order val="2"/>
          <c:tx>
            <c:strRef>
              <c:f>'Radar Chart'!$A$42</c:f>
              <c:strCache>
                <c:ptCount val="1"/>
                <c:pt idx="0">
                  <c:v>Keqing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Chart'!$B$39:$D$39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Chart'!$B$42:$D$42</c:f>
              <c:numCache>
                <c:formatCode>General</c:formatCode>
                <c:ptCount val="3"/>
                <c:pt idx="0">
                  <c:v>0.8191942236184252</c:v>
                </c:pt>
                <c:pt idx="1">
                  <c:v>0.47619047619047672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1B-426D-90A0-824C668E3FF0}"/>
            </c:ext>
          </c:extLst>
        </c:ser>
        <c:ser>
          <c:idx val="3"/>
          <c:order val="3"/>
          <c:tx>
            <c:strRef>
              <c:f>'Radar Chart'!$A$43</c:f>
              <c:strCache>
                <c:ptCount val="1"/>
                <c:pt idx="0">
                  <c:v>Nahida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'Radar Chart'!$B$39:$D$39</c:f>
              <c:strCache>
                <c:ptCount val="3"/>
                <c:pt idx="0">
                  <c:v>HP</c:v>
                </c:pt>
                <c:pt idx="1">
                  <c:v>ATK</c:v>
                </c:pt>
                <c:pt idx="2">
                  <c:v>DEF</c:v>
                </c:pt>
              </c:strCache>
            </c:strRef>
          </c:cat>
          <c:val>
            <c:numRef>
              <c:f>'Radar Chart'!$B$43:$D$43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1B-426D-90A0-824C668E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848431"/>
        <c:axId val="1118849391"/>
      </c:radarChart>
      <c:catAx>
        <c:axId val="111884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49391"/>
        <c:crosses val="autoZero"/>
        <c:auto val="1"/>
        <c:lblAlgn val="ctr"/>
        <c:lblOffset val="100"/>
        <c:noMultiLvlLbl val="0"/>
      </c:catAx>
      <c:valAx>
        <c:axId val="11188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41910</xdr:rowOff>
    </xdr:from>
    <xdr:to>
      <xdr:col>12</xdr:col>
      <xdr:colOff>434340</xdr:colOff>
      <xdr:row>24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C32EBF-F2CA-AD92-F5BF-353C160E7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44</xdr:row>
      <xdr:rowOff>64770</xdr:rowOff>
    </xdr:from>
    <xdr:to>
      <xdr:col>6</xdr:col>
      <xdr:colOff>91440</xdr:colOff>
      <xdr:row>59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19B7A1-0AE4-D40E-72CA-0836F025B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397C93-58A2-466A-95F3-BDDC5EDF7800}" name="Try_2" displayName="Try_2" ref="A1:N113" totalsRowShown="0" headerRowDxfId="28" dataDxfId="27" tableBorderDxfId="26">
  <autoFilter ref="A1:N113" xr:uid="{9D397C93-58A2-466A-95F3-BDDC5EDF7800}"/>
  <sortState xmlns:xlrd2="http://schemas.microsoft.com/office/spreadsheetml/2017/richdata2" ref="A2:N97">
    <sortCondition ref="M1:M97"/>
  </sortState>
  <tableColumns count="14">
    <tableColumn id="1" xr3:uid="{2DB9E9E1-3A07-4662-B3BC-3D82E829DAC1}" name="No" dataDxfId="25">
      <calculatedColumnFormula>ROW(A1)</calculatedColumnFormula>
    </tableColumn>
    <tableColumn id="2" xr3:uid="{F346E6B9-9490-473D-90EE-621DB1D38B9A}" name="Name" dataDxfId="24"/>
    <tableColumn id="3" xr3:uid="{9F40EF11-B442-4993-81EF-C18B2A82D386}" name="Gendre" dataDxfId="23"/>
    <tableColumn id="4" xr3:uid="{74DB09B1-38E9-40CF-893C-DE1A24D00409}" name="Date of Birth" dataDxfId="22"/>
    <tableColumn id="5" xr3:uid="{5CAE934F-DA6B-49F6-BFAC-D800D47A0954}" name="Region" dataDxfId="21"/>
    <tableColumn id="6" xr3:uid="{85ECA188-4939-46FD-8573-94EF98017233}" name="Quality (star)" dataDxfId="20"/>
    <tableColumn id="7" xr3:uid="{93447DB0-D748-4C11-98C9-9832F41AD2F0}" name="Element" dataDxfId="19"/>
    <tableColumn id="8" xr3:uid="{26B2C411-A15A-4105-9BD9-1B482BCD025E}" name="Weapon" dataDxfId="18"/>
    <tableColumn id="9" xr3:uid="{DDA74589-3590-44B2-8C56-D0682DF0148B}" name="HP" dataDxfId="17"/>
    <tableColumn id="10" xr3:uid="{FF57BC15-0AB4-484F-9519-F0A230FB004C}" name="ATK" dataDxfId="16"/>
    <tableColumn id="11" xr3:uid="{B56281F8-0781-4CE6-A216-85941F272497}" name="DEF" dataDxfId="15"/>
    <tableColumn id="12" xr3:uid="{36EF5657-DF60-4855-9522-3EE0B1AA5F94}" name="Release Date" dataDxfId="14"/>
    <tableColumn id="13" xr3:uid="{C88A025E-DC6D-4E18-A33E-D0898DBB3336}" name="Release Version" dataDxfId="13"/>
    <tableColumn id="14" xr3:uid="{3D58F704-270A-4E66-8E8A-9D6918693652}" name="Picture 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AC096-7E12-4276-BA6B-07CD102DC0F4}" name="Table1" displayName="Table1" ref="A1:H111" totalsRowShown="0" headerRowDxfId="11">
  <autoFilter ref="A1:H111" xr:uid="{862AC096-7E12-4276-BA6B-07CD102DC0F4}">
    <filterColumn colId="5">
      <filters>
        <filter val="No"/>
      </filters>
    </filterColumn>
    <filterColumn colId="7">
      <filters>
        <filter val="Yes"/>
      </filters>
    </filterColumn>
  </autoFilter>
  <sortState xmlns:xlrd2="http://schemas.microsoft.com/office/spreadsheetml/2017/richdata2" ref="A2:H95">
    <sortCondition ref="B1:B95"/>
  </sortState>
  <tableColumns count="8">
    <tableColumn id="1" xr3:uid="{3F37534E-5CE6-410C-99A2-3C94E3DBF9AD}" name="No" dataDxfId="10">
      <calculatedColumnFormula>ROW(A1)</calculatedColumnFormula>
    </tableColumn>
    <tableColumn id="2" xr3:uid="{6612A59B-DFC7-444C-B615-E00444662476}" name="Name"/>
    <tableColumn id="3" xr3:uid="{E70764C9-D697-4C8D-8A87-FF9680C1BD72}" name="Element"/>
    <tableColumn id="4" xr3:uid="{4ECC77C3-3401-4172-9FCF-C6390CFDF0EA}" name="On-field"/>
    <tableColumn id="5" xr3:uid="{50090839-C214-49BC-940B-E35E9AAACC07}" name="Off-field"/>
    <tableColumn id="6" xr3:uid="{CBBE4A53-D865-400B-BBA7-C151A525A77C}" name="DPS"/>
    <tableColumn id="7" xr3:uid="{7207C884-A3D7-4A19-9220-E592DA4BFF90}" name="Support"/>
    <tableColumn id="8" xr3:uid="{BC789CB2-D721-4595-A367-26C8E9975DEF}" name="Survivabil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1EB9-A8BC-45A4-9053-FDF63FA0A6AF}">
  <sheetPr>
    <tabColor theme="3" tint="0.79998168889431442"/>
  </sheetPr>
  <dimension ref="A1:N13"/>
  <sheetViews>
    <sheetView workbookViewId="0">
      <selection activeCell="D24" sqref="D24"/>
    </sheetView>
  </sheetViews>
  <sheetFormatPr defaultRowHeight="14.4" x14ac:dyDescent="0.3"/>
  <cols>
    <col min="1" max="1" width="4.109375" style="2" customWidth="1"/>
    <col min="2" max="2" width="18.5546875" style="2" customWidth="1"/>
    <col min="3" max="3" width="13.33203125" style="2" customWidth="1"/>
    <col min="4" max="5" width="18.5546875" style="2" customWidth="1"/>
    <col min="6" max="6" width="14.109375" style="2" customWidth="1"/>
    <col min="7" max="8" width="18.5546875" style="2" customWidth="1"/>
    <col min="9" max="9" width="10.21875" style="2" customWidth="1"/>
    <col min="10" max="11" width="9.88671875" style="2" customWidth="1"/>
    <col min="12" max="12" width="18.5546875" style="2" customWidth="1"/>
    <col min="13" max="13" width="14.21875" style="2" customWidth="1"/>
    <col min="14" max="14" width="18.5546875" style="2" customWidth="1"/>
    <col min="15" max="16384" width="8.88671875" style="2"/>
  </cols>
  <sheetData>
    <row r="1" spans="1:14" x14ac:dyDescent="0.3">
      <c r="A1" s="22" t="s">
        <v>1</v>
      </c>
      <c r="B1" s="22" t="s">
        <v>0</v>
      </c>
      <c r="C1" s="22" t="s">
        <v>23</v>
      </c>
      <c r="D1" s="22" t="s">
        <v>2</v>
      </c>
      <c r="E1" s="22" t="s">
        <v>20</v>
      </c>
      <c r="F1" s="22" t="s">
        <v>30</v>
      </c>
      <c r="G1" s="22" t="s">
        <v>3</v>
      </c>
      <c r="H1" s="22" t="s">
        <v>4</v>
      </c>
      <c r="I1" s="1"/>
      <c r="J1" s="1" t="s">
        <v>27</v>
      </c>
      <c r="K1" s="1"/>
      <c r="L1" s="22" t="s">
        <v>6</v>
      </c>
      <c r="M1" s="22" t="s">
        <v>7</v>
      </c>
      <c r="N1" s="22" t="s">
        <v>5</v>
      </c>
    </row>
    <row r="2" spans="1:14" customFormat="1" x14ac:dyDescent="0.3">
      <c r="A2" s="23"/>
      <c r="B2" s="23"/>
      <c r="C2" s="23"/>
      <c r="D2" s="23"/>
      <c r="E2" s="23"/>
      <c r="F2" s="23"/>
      <c r="G2" s="23"/>
      <c r="H2" s="23"/>
      <c r="I2" s="1" t="s">
        <v>28</v>
      </c>
      <c r="J2" s="1" t="s">
        <v>26</v>
      </c>
      <c r="K2" s="1" t="s">
        <v>29</v>
      </c>
      <c r="L2" s="23"/>
      <c r="M2" s="23"/>
      <c r="N2" s="23"/>
    </row>
    <row r="3" spans="1:14" x14ac:dyDescent="0.3">
      <c r="A3" s="3">
        <f>ROW(A1)</f>
        <v>1</v>
      </c>
      <c r="B3" s="3" t="s">
        <v>8</v>
      </c>
      <c r="C3" s="3" t="s">
        <v>24</v>
      </c>
      <c r="D3" s="6">
        <v>44136</v>
      </c>
      <c r="E3" s="3" t="s">
        <v>18</v>
      </c>
      <c r="F3" s="3">
        <v>5</v>
      </c>
      <c r="G3" s="3" t="s">
        <v>31</v>
      </c>
      <c r="H3" s="3" t="s">
        <v>32</v>
      </c>
      <c r="I3" s="4">
        <v>1020.0524</v>
      </c>
      <c r="J3" s="3">
        <v>25.137</v>
      </c>
      <c r="K3" s="3">
        <v>62.223199999999999</v>
      </c>
      <c r="L3" s="5">
        <v>44102</v>
      </c>
      <c r="M3" s="3" t="s">
        <v>33</v>
      </c>
      <c r="N3" s="3"/>
    </row>
    <row r="4" spans="1:14" x14ac:dyDescent="0.3">
      <c r="A4" s="3">
        <f t="shared" ref="A4:A13" si="0">ROW(A2)</f>
        <v>2</v>
      </c>
      <c r="B4" s="3" t="s">
        <v>9</v>
      </c>
      <c r="C4" s="3" t="s">
        <v>24</v>
      </c>
      <c r="D4" s="6">
        <v>38718</v>
      </c>
      <c r="E4" s="3" t="s">
        <v>18</v>
      </c>
      <c r="F4" s="3">
        <v>4</v>
      </c>
      <c r="G4" s="3" t="s">
        <v>35</v>
      </c>
      <c r="H4" s="3" t="s">
        <v>37</v>
      </c>
      <c r="I4" s="3">
        <v>775.02233999999999</v>
      </c>
      <c r="J4" s="3">
        <v>21.013439999999999</v>
      </c>
      <c r="K4" s="3">
        <v>48.641249999999999</v>
      </c>
      <c r="L4" s="5">
        <v>45678</v>
      </c>
      <c r="M4" s="3" t="s">
        <v>36</v>
      </c>
      <c r="N4" s="3"/>
    </row>
    <row r="5" spans="1:14" x14ac:dyDescent="0.3">
      <c r="A5" s="3">
        <f t="shared" si="0"/>
        <v>3</v>
      </c>
      <c r="B5" s="3" t="s">
        <v>41</v>
      </c>
      <c r="C5" s="3" t="s">
        <v>24</v>
      </c>
      <c r="D5" s="6">
        <v>37561</v>
      </c>
      <c r="E5" s="3" t="s">
        <v>18</v>
      </c>
      <c r="F5" s="3">
        <v>4</v>
      </c>
      <c r="G5" s="3" t="s">
        <v>38</v>
      </c>
      <c r="H5" s="3" t="s">
        <v>40</v>
      </c>
      <c r="I5" s="3">
        <v>911.79100000000005</v>
      </c>
      <c r="J5" s="3">
        <v>18.876480000000001</v>
      </c>
      <c r="K5" s="3">
        <v>56.080500000000001</v>
      </c>
      <c r="L5" s="5">
        <v>44102</v>
      </c>
      <c r="M5" s="3" t="s">
        <v>33</v>
      </c>
      <c r="N5" s="3"/>
    </row>
    <row r="6" spans="1:14" x14ac:dyDescent="0.3">
      <c r="A6" s="3">
        <f t="shared" si="0"/>
        <v>4</v>
      </c>
      <c r="B6" s="3" t="s">
        <v>10</v>
      </c>
      <c r="C6" s="3" t="s">
        <v>25</v>
      </c>
      <c r="D6" s="6">
        <v>42522</v>
      </c>
      <c r="E6" s="3" t="s">
        <v>19</v>
      </c>
      <c r="F6" s="3">
        <v>5</v>
      </c>
      <c r="G6" s="3" t="s">
        <v>35</v>
      </c>
      <c r="H6" s="3" t="s">
        <v>42</v>
      </c>
      <c r="I6" s="3">
        <v>819.85519999999997</v>
      </c>
      <c r="J6" s="3">
        <v>20.481999999999999</v>
      </c>
      <c r="K6" s="3">
        <v>52.052100000000003</v>
      </c>
      <c r="L6" s="5">
        <v>44102</v>
      </c>
      <c r="M6" s="3" t="s">
        <v>33</v>
      </c>
      <c r="N6" s="3"/>
    </row>
    <row r="7" spans="1:14" x14ac:dyDescent="0.3">
      <c r="A7" s="3">
        <f t="shared" si="0"/>
        <v>5</v>
      </c>
      <c r="B7" s="3" t="s">
        <v>11</v>
      </c>
      <c r="C7" s="3" t="s">
        <v>24</v>
      </c>
      <c r="D7" s="6">
        <v>46997</v>
      </c>
      <c r="E7" s="3" t="s">
        <v>21</v>
      </c>
      <c r="F7" s="3">
        <v>5</v>
      </c>
      <c r="G7" s="3" t="s">
        <v>44</v>
      </c>
      <c r="H7" s="3" t="s">
        <v>32</v>
      </c>
      <c r="I7" s="3">
        <v>1000.986</v>
      </c>
      <c r="J7" s="3">
        <v>26.6266</v>
      </c>
      <c r="K7" s="3">
        <v>61.026600000000002</v>
      </c>
      <c r="L7" s="5">
        <v>44368</v>
      </c>
      <c r="M7" s="3" t="s">
        <v>34</v>
      </c>
      <c r="N7" s="3"/>
    </row>
    <row r="8" spans="1:14" x14ac:dyDescent="0.3">
      <c r="A8" s="3">
        <f t="shared" si="0"/>
        <v>6</v>
      </c>
      <c r="B8" s="3" t="s">
        <v>15</v>
      </c>
      <c r="C8" s="3" t="s">
        <v>25</v>
      </c>
      <c r="D8" s="6">
        <v>46082</v>
      </c>
      <c r="E8" s="3" t="s">
        <v>21</v>
      </c>
      <c r="F8" s="3">
        <v>5</v>
      </c>
      <c r="G8" s="3" t="s">
        <v>45</v>
      </c>
      <c r="H8" s="3" t="s">
        <v>32</v>
      </c>
      <c r="I8" s="3">
        <v>1067.184</v>
      </c>
      <c r="J8" s="3">
        <v>23.274999999999999</v>
      </c>
      <c r="K8" s="3">
        <v>59.83</v>
      </c>
      <c r="L8" s="5">
        <v>44650</v>
      </c>
      <c r="M8" s="3" t="s">
        <v>46</v>
      </c>
      <c r="N8" s="3"/>
    </row>
    <row r="9" spans="1:14" x14ac:dyDescent="0.3">
      <c r="A9" s="3">
        <f t="shared" si="0"/>
        <v>7</v>
      </c>
      <c r="B9" s="3" t="s">
        <v>12</v>
      </c>
      <c r="C9" s="3" t="s">
        <v>25</v>
      </c>
      <c r="D9" s="6">
        <v>11658</v>
      </c>
      <c r="E9" s="3" t="s">
        <v>18</v>
      </c>
      <c r="F9" s="3">
        <v>5</v>
      </c>
      <c r="G9" s="3" t="s">
        <v>47</v>
      </c>
      <c r="H9" s="3" t="s">
        <v>40</v>
      </c>
      <c r="I9" s="3">
        <v>1143.9839999999999</v>
      </c>
      <c r="J9" s="3">
        <v>19.550999999999998</v>
      </c>
      <c r="K9" s="3">
        <v>57.436799999999998</v>
      </c>
      <c r="L9" s="5">
        <v>44166</v>
      </c>
      <c r="M9" s="3" t="s">
        <v>48</v>
      </c>
      <c r="N9" s="3"/>
    </row>
    <row r="10" spans="1:14" x14ac:dyDescent="0.3">
      <c r="A10" s="3">
        <f t="shared" si="0"/>
        <v>8</v>
      </c>
      <c r="B10" s="3" t="s">
        <v>13</v>
      </c>
      <c r="C10" s="3" t="s">
        <v>24</v>
      </c>
      <c r="D10" s="6">
        <v>46661</v>
      </c>
      <c r="E10" s="3" t="s">
        <v>22</v>
      </c>
      <c r="F10" s="3">
        <v>5</v>
      </c>
      <c r="G10" s="3" t="s">
        <v>49</v>
      </c>
      <c r="H10" s="3" t="s">
        <v>37</v>
      </c>
      <c r="I10" s="3">
        <v>806.50869999999998</v>
      </c>
      <c r="J10" s="3">
        <v>23.274999999999999</v>
      </c>
      <c r="K10" s="3">
        <v>49.060600000000001</v>
      </c>
      <c r="L10" s="5">
        <v>44867</v>
      </c>
      <c r="M10" s="3" t="s">
        <v>50</v>
      </c>
      <c r="N10" s="3"/>
    </row>
    <row r="11" spans="1:14" x14ac:dyDescent="0.3">
      <c r="A11" s="3">
        <f t="shared" si="0"/>
        <v>9</v>
      </c>
      <c r="B11" s="3" t="s">
        <v>14</v>
      </c>
      <c r="C11" s="3" t="s">
        <v>24</v>
      </c>
      <c r="D11" s="6">
        <v>40391</v>
      </c>
      <c r="E11" s="3" t="s">
        <v>19</v>
      </c>
      <c r="F11" s="3">
        <v>4</v>
      </c>
      <c r="G11" s="3" t="s">
        <v>38</v>
      </c>
      <c r="H11" s="3" t="s">
        <v>42</v>
      </c>
      <c r="I11" s="3">
        <v>793.25819999999999</v>
      </c>
      <c r="J11" s="3">
        <v>18.698399999999999</v>
      </c>
      <c r="K11" s="3">
        <v>50.357999999999997</v>
      </c>
      <c r="L11" s="5">
        <v>44102</v>
      </c>
      <c r="M11" s="3" t="s">
        <v>33</v>
      </c>
      <c r="N11" s="3"/>
    </row>
    <row r="12" spans="1:14" x14ac:dyDescent="0.3">
      <c r="A12" s="3">
        <f t="shared" si="0"/>
        <v>10</v>
      </c>
      <c r="B12" s="3" t="s">
        <v>16</v>
      </c>
      <c r="C12" s="3" t="s">
        <v>25</v>
      </c>
      <c r="D12" s="6">
        <v>42826</v>
      </c>
      <c r="E12" s="3" t="s">
        <v>18</v>
      </c>
      <c r="F12" s="3">
        <v>5</v>
      </c>
      <c r="G12" s="3" t="s">
        <v>35</v>
      </c>
      <c r="H12" s="3" t="s">
        <v>40</v>
      </c>
      <c r="I12" s="3">
        <v>991.45280000000002</v>
      </c>
      <c r="J12" s="3">
        <v>27.185199999999998</v>
      </c>
      <c r="K12" s="3">
        <v>62.223199999999999</v>
      </c>
      <c r="L12" s="5">
        <v>44230</v>
      </c>
      <c r="M12" s="3" t="s">
        <v>39</v>
      </c>
      <c r="N12" s="3"/>
    </row>
    <row r="13" spans="1:14" x14ac:dyDescent="0.3">
      <c r="A13" s="3">
        <f t="shared" si="0"/>
        <v>11</v>
      </c>
      <c r="B13" s="3" t="s">
        <v>17</v>
      </c>
      <c r="C13" s="3" t="s">
        <v>24</v>
      </c>
      <c r="D13" s="6">
        <v>37591</v>
      </c>
      <c r="E13" s="3" t="s">
        <v>18</v>
      </c>
      <c r="F13" s="3">
        <v>5</v>
      </c>
      <c r="G13" s="3" t="s">
        <v>44</v>
      </c>
      <c r="H13" s="3" t="s">
        <v>42</v>
      </c>
      <c r="I13" s="3">
        <v>762.65599999999995</v>
      </c>
      <c r="J13" s="3">
        <v>26.068000000000001</v>
      </c>
      <c r="K13" s="3">
        <v>49.060600000000001</v>
      </c>
      <c r="L13" s="5">
        <v>44208</v>
      </c>
      <c r="M13" s="3" t="s">
        <v>43</v>
      </c>
      <c r="N13" s="3"/>
    </row>
  </sheetData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L1:L2"/>
    <mergeCell ref="M1:M2"/>
    <mergeCell ref="N1:N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D9FB-F097-4492-8665-950E02975B23}">
  <sheetPr>
    <tabColor rgb="FFFFFF00"/>
  </sheetPr>
  <dimension ref="A1:N113"/>
  <sheetViews>
    <sheetView topLeftCell="C1" zoomScaleNormal="100" workbookViewId="0">
      <selection activeCell="R6" sqref="R6"/>
    </sheetView>
  </sheetViews>
  <sheetFormatPr defaultRowHeight="14.4" x14ac:dyDescent="0.3"/>
  <cols>
    <col min="1" max="1" width="5.6640625" customWidth="1"/>
    <col min="2" max="2" width="25.5546875" customWidth="1"/>
    <col min="3" max="3" width="9" customWidth="1"/>
    <col min="4" max="4" width="13.44140625" customWidth="1"/>
    <col min="5" max="5" width="11.109375" customWidth="1"/>
    <col min="6" max="6" width="13.33203125" customWidth="1"/>
    <col min="7" max="7" width="11.77734375" customWidth="1"/>
    <col min="8" max="8" width="11.6640625" customWidth="1"/>
    <col min="9" max="9" width="11.77734375" customWidth="1"/>
    <col min="10" max="11" width="10.44140625" customWidth="1"/>
    <col min="12" max="12" width="13.77734375" customWidth="1"/>
    <col min="13" max="13" width="16.44140625" customWidth="1"/>
    <col min="14" max="14" width="16" customWidth="1"/>
    <col min="16" max="16" width="1.33203125" customWidth="1"/>
    <col min="17" max="17" width="8.88671875" customWidth="1"/>
  </cols>
  <sheetData>
    <row r="1" spans="1:14" x14ac:dyDescent="0.3">
      <c r="A1" s="16" t="s">
        <v>1</v>
      </c>
      <c r="B1" s="17" t="s">
        <v>0</v>
      </c>
      <c r="C1" s="17" t="s">
        <v>23</v>
      </c>
      <c r="D1" s="17" t="s">
        <v>2</v>
      </c>
      <c r="E1" s="17" t="s">
        <v>20</v>
      </c>
      <c r="F1" s="17" t="s">
        <v>30</v>
      </c>
      <c r="G1" s="17" t="s">
        <v>3</v>
      </c>
      <c r="H1" s="17" t="s">
        <v>4</v>
      </c>
      <c r="I1" s="17" t="s">
        <v>28</v>
      </c>
      <c r="J1" s="17" t="s">
        <v>26</v>
      </c>
      <c r="K1" s="17" t="s">
        <v>29</v>
      </c>
      <c r="L1" s="17" t="s">
        <v>6</v>
      </c>
      <c r="M1" s="18" t="s">
        <v>7</v>
      </c>
      <c r="N1" s="17" t="s">
        <v>64</v>
      </c>
    </row>
    <row r="2" spans="1:14" x14ac:dyDescent="0.3">
      <c r="A2" s="9">
        <f t="shared" ref="A2:A33" si="0">ROW(A1)</f>
        <v>1</v>
      </c>
      <c r="B2" s="3" t="s">
        <v>175</v>
      </c>
      <c r="C2" s="3" t="s">
        <v>25</v>
      </c>
      <c r="D2" s="6"/>
      <c r="E2" s="3"/>
      <c r="F2" s="3">
        <v>5</v>
      </c>
      <c r="G2" s="3"/>
      <c r="H2" s="3" t="s">
        <v>32</v>
      </c>
      <c r="I2" s="2">
        <v>911.79100000000005</v>
      </c>
      <c r="J2" s="3">
        <v>17.808</v>
      </c>
      <c r="K2" s="3">
        <v>57.225000000000001</v>
      </c>
      <c r="L2" s="5">
        <v>44102</v>
      </c>
      <c r="M2" s="10" t="s">
        <v>33</v>
      </c>
      <c r="N2" s="19"/>
    </row>
    <row r="3" spans="1:14" x14ac:dyDescent="0.3">
      <c r="A3" s="9">
        <f t="shared" si="0"/>
        <v>2</v>
      </c>
      <c r="B3" s="3" t="s">
        <v>14</v>
      </c>
      <c r="C3" s="3" t="s">
        <v>24</v>
      </c>
      <c r="D3" s="6">
        <v>40391</v>
      </c>
      <c r="E3" s="3" t="s">
        <v>19</v>
      </c>
      <c r="F3" s="3">
        <v>4</v>
      </c>
      <c r="G3" s="3" t="s">
        <v>38</v>
      </c>
      <c r="H3" s="3" t="s">
        <v>42</v>
      </c>
      <c r="I3" s="3">
        <v>793.25819999999999</v>
      </c>
      <c r="J3" s="3">
        <v>18.698399999999999</v>
      </c>
      <c r="K3" s="3">
        <v>50.357999999999997</v>
      </c>
      <c r="L3" s="5">
        <v>44102</v>
      </c>
      <c r="M3" s="10" t="s">
        <v>33</v>
      </c>
      <c r="N3" s="3"/>
    </row>
    <row r="4" spans="1:14" x14ac:dyDescent="0.3">
      <c r="A4" s="9">
        <f t="shared" si="0"/>
        <v>3</v>
      </c>
      <c r="B4" s="3" t="s">
        <v>148</v>
      </c>
      <c r="C4" s="3" t="s">
        <v>24</v>
      </c>
      <c r="D4" s="6">
        <v>11536</v>
      </c>
      <c r="E4" s="3" t="s">
        <v>19</v>
      </c>
      <c r="F4" s="3">
        <v>5</v>
      </c>
      <c r="G4" s="3" t="s">
        <v>45</v>
      </c>
      <c r="H4" s="3" t="s">
        <v>37</v>
      </c>
      <c r="I4" s="3">
        <v>810.322</v>
      </c>
      <c r="J4" s="3">
        <v>22.344000000000001</v>
      </c>
      <c r="K4" s="3">
        <v>50.855499999999999</v>
      </c>
      <c r="L4" s="5">
        <v>44102</v>
      </c>
      <c r="M4" s="10" t="s">
        <v>33</v>
      </c>
      <c r="N4" s="3"/>
    </row>
    <row r="5" spans="1:14" x14ac:dyDescent="0.3">
      <c r="A5" s="9">
        <f t="shared" si="0"/>
        <v>4</v>
      </c>
      <c r="B5" s="3" t="s">
        <v>102</v>
      </c>
      <c r="C5" s="3" t="s">
        <v>24</v>
      </c>
      <c r="D5" s="6">
        <v>38534</v>
      </c>
      <c r="E5" s="3" t="s">
        <v>19</v>
      </c>
      <c r="F5" s="3">
        <v>4</v>
      </c>
      <c r="G5" s="3" t="s">
        <v>45</v>
      </c>
      <c r="H5" s="3" t="s">
        <v>37</v>
      </c>
      <c r="I5" s="3">
        <v>820.61189999999999</v>
      </c>
      <c r="J5" s="3">
        <v>13.356</v>
      </c>
      <c r="K5" s="3">
        <v>56.080500000000001</v>
      </c>
      <c r="L5" s="5">
        <v>44102</v>
      </c>
      <c r="M5" s="10" t="s">
        <v>33</v>
      </c>
      <c r="N5" s="3"/>
    </row>
    <row r="6" spans="1:14" x14ac:dyDescent="0.3">
      <c r="A6" s="9">
        <f t="shared" si="0"/>
        <v>5</v>
      </c>
      <c r="B6" s="3" t="s">
        <v>70</v>
      </c>
      <c r="C6" s="3" t="s">
        <v>24</v>
      </c>
      <c r="D6" s="6">
        <v>41671</v>
      </c>
      <c r="E6" s="3" t="s">
        <v>18</v>
      </c>
      <c r="F6" s="3">
        <v>4</v>
      </c>
      <c r="G6" s="3" t="s">
        <v>31</v>
      </c>
      <c r="H6" s="3" t="s">
        <v>97</v>
      </c>
      <c r="I6" s="3">
        <v>1094.1492000000001</v>
      </c>
      <c r="J6" s="3">
        <v>18.876480000000001</v>
      </c>
      <c r="K6" s="3">
        <v>54.363750000000003</v>
      </c>
      <c r="L6" s="5">
        <v>44102</v>
      </c>
      <c r="M6" s="10" t="s">
        <v>33</v>
      </c>
      <c r="N6" s="3"/>
    </row>
    <row r="7" spans="1:14" x14ac:dyDescent="0.3">
      <c r="A7" s="9">
        <f t="shared" si="0"/>
        <v>6</v>
      </c>
      <c r="B7" s="3" t="s">
        <v>71</v>
      </c>
      <c r="C7" s="3" t="s">
        <v>25</v>
      </c>
      <c r="D7" s="6">
        <v>47150</v>
      </c>
      <c r="E7" s="3" t="s">
        <v>19</v>
      </c>
      <c r="F7" s="3">
        <v>4</v>
      </c>
      <c r="G7" s="3" t="s">
        <v>38</v>
      </c>
      <c r="H7" s="3" t="s">
        <v>32</v>
      </c>
      <c r="I7" s="3">
        <v>1039.4418000000001</v>
      </c>
      <c r="J7" s="3">
        <v>16.027200000000001</v>
      </c>
      <c r="K7" s="3">
        <v>64.664249999999996</v>
      </c>
      <c r="L7" s="5">
        <v>44102</v>
      </c>
      <c r="M7" s="10" t="s">
        <v>33</v>
      </c>
      <c r="N7" s="3"/>
    </row>
    <row r="8" spans="1:14" x14ac:dyDescent="0.3">
      <c r="A8" s="9">
        <f t="shared" si="0"/>
        <v>7</v>
      </c>
      <c r="B8" s="3" t="s">
        <v>77</v>
      </c>
      <c r="C8" s="3" t="s">
        <v>25</v>
      </c>
      <c r="D8" s="6">
        <v>39326</v>
      </c>
      <c r="E8" s="3" t="s">
        <v>18</v>
      </c>
      <c r="F8" s="3">
        <v>4</v>
      </c>
      <c r="G8" s="3" t="s">
        <v>44</v>
      </c>
      <c r="H8" s="3" t="s">
        <v>97</v>
      </c>
      <c r="I8" s="3">
        <v>920.90894000000003</v>
      </c>
      <c r="J8" s="3">
        <v>18.698399999999999</v>
      </c>
      <c r="K8" s="3">
        <v>54.363750000000003</v>
      </c>
      <c r="L8" s="5">
        <v>44102</v>
      </c>
      <c r="M8" s="10" t="s">
        <v>33</v>
      </c>
      <c r="N8" s="3"/>
    </row>
    <row r="9" spans="1:14" x14ac:dyDescent="0.3">
      <c r="A9" s="9">
        <f t="shared" si="0"/>
        <v>8</v>
      </c>
      <c r="B9" s="3" t="s">
        <v>83</v>
      </c>
      <c r="C9" s="3" t="s">
        <v>25</v>
      </c>
      <c r="D9" s="6">
        <v>11049</v>
      </c>
      <c r="E9" s="3" t="s">
        <v>19</v>
      </c>
      <c r="F9" s="3">
        <v>5</v>
      </c>
      <c r="G9" s="3" t="s">
        <v>38</v>
      </c>
      <c r="H9" s="3" t="s">
        <v>97</v>
      </c>
      <c r="I9" s="3">
        <v>1010.5192</v>
      </c>
      <c r="J9" s="3">
        <v>26.068000000000001</v>
      </c>
      <c r="K9" s="3">
        <v>61.026600000000002</v>
      </c>
      <c r="L9" s="5">
        <v>44102</v>
      </c>
      <c r="M9" s="10" t="s">
        <v>33</v>
      </c>
      <c r="N9" s="3"/>
    </row>
    <row r="10" spans="1:14" x14ac:dyDescent="0.3">
      <c r="A10" s="9">
        <f t="shared" si="0"/>
        <v>9</v>
      </c>
      <c r="B10" s="3" t="s">
        <v>118</v>
      </c>
      <c r="C10" s="3" t="s">
        <v>24</v>
      </c>
      <c r="D10" s="6">
        <v>46508</v>
      </c>
      <c r="E10" s="3" t="s">
        <v>19</v>
      </c>
      <c r="F10" s="3">
        <v>4</v>
      </c>
      <c r="G10" s="3" t="s">
        <v>31</v>
      </c>
      <c r="H10" s="3" t="s">
        <v>42</v>
      </c>
      <c r="I10" s="3">
        <v>770.46339999999998</v>
      </c>
      <c r="J10" s="3">
        <v>20.479199999999999</v>
      </c>
      <c r="K10" s="3">
        <v>49.78575</v>
      </c>
      <c r="L10" s="5">
        <v>44102</v>
      </c>
      <c r="M10" s="10" t="s">
        <v>33</v>
      </c>
      <c r="N10" s="3"/>
    </row>
    <row r="11" spans="1:14" x14ac:dyDescent="0.3">
      <c r="A11" s="9">
        <f t="shared" si="0"/>
        <v>10</v>
      </c>
      <c r="B11" s="3" t="s">
        <v>93</v>
      </c>
      <c r="C11" s="3" t="s">
        <v>24</v>
      </c>
      <c r="D11" s="6">
        <v>41699</v>
      </c>
      <c r="E11" s="3" t="s">
        <v>19</v>
      </c>
      <c r="F11" s="3">
        <v>5</v>
      </c>
      <c r="G11" s="3" t="s">
        <v>35</v>
      </c>
      <c r="H11" s="3" t="s">
        <v>32</v>
      </c>
      <c r="I11" s="3">
        <v>1143.9839999999999</v>
      </c>
      <c r="J11" s="3">
        <v>18.62</v>
      </c>
      <c r="K11" s="3">
        <v>59.83</v>
      </c>
      <c r="L11" s="5">
        <v>44102</v>
      </c>
      <c r="M11" s="10" t="s">
        <v>33</v>
      </c>
      <c r="N11" s="3"/>
    </row>
    <row r="12" spans="1:14" x14ac:dyDescent="0.3">
      <c r="A12" s="9">
        <f t="shared" si="0"/>
        <v>11</v>
      </c>
      <c r="B12" s="12" t="s">
        <v>96</v>
      </c>
      <c r="C12" s="12" t="s">
        <v>25</v>
      </c>
      <c r="D12" s="13">
        <v>11263</v>
      </c>
      <c r="E12" s="12" t="s">
        <v>19</v>
      </c>
      <c r="F12" s="12">
        <v>4</v>
      </c>
      <c r="G12" s="12" t="s">
        <v>44</v>
      </c>
      <c r="H12" s="12" t="s">
        <v>32</v>
      </c>
      <c r="I12" s="12">
        <v>975.6164</v>
      </c>
      <c r="J12" s="12">
        <v>18.698399999999999</v>
      </c>
      <c r="K12" s="12">
        <v>66.381</v>
      </c>
      <c r="L12" s="14">
        <v>44102</v>
      </c>
      <c r="M12" s="15" t="s">
        <v>33</v>
      </c>
      <c r="N12" s="3"/>
    </row>
    <row r="13" spans="1:14" x14ac:dyDescent="0.3">
      <c r="A13" s="9">
        <f t="shared" si="0"/>
        <v>12</v>
      </c>
      <c r="B13" s="3" t="s">
        <v>8</v>
      </c>
      <c r="C13" s="3" t="s">
        <v>24</v>
      </c>
      <c r="D13" s="6">
        <v>44136</v>
      </c>
      <c r="E13" s="3" t="s">
        <v>18</v>
      </c>
      <c r="F13" s="3">
        <v>5</v>
      </c>
      <c r="G13" s="3" t="s">
        <v>31</v>
      </c>
      <c r="H13" s="3" t="s">
        <v>32</v>
      </c>
      <c r="I13" s="21">
        <v>1020.0524</v>
      </c>
      <c r="J13" s="3">
        <v>25.137</v>
      </c>
      <c r="K13" s="3">
        <v>62.223199999999999</v>
      </c>
      <c r="L13" s="5">
        <v>44102</v>
      </c>
      <c r="M13" s="10" t="s">
        <v>33</v>
      </c>
      <c r="N13" s="3"/>
    </row>
    <row r="14" spans="1:14" x14ac:dyDescent="0.3">
      <c r="A14" s="9">
        <f t="shared" si="0"/>
        <v>13</v>
      </c>
      <c r="B14" s="3" t="s">
        <v>126</v>
      </c>
      <c r="C14" s="3" t="s">
        <v>24</v>
      </c>
      <c r="D14" s="6">
        <v>46569</v>
      </c>
      <c r="E14" s="3" t="s">
        <v>19</v>
      </c>
      <c r="F14" s="3">
        <v>5</v>
      </c>
      <c r="G14" s="3" t="s">
        <v>38</v>
      </c>
      <c r="H14" s="3" t="s">
        <v>37</v>
      </c>
      <c r="I14" s="3">
        <v>800.78880000000004</v>
      </c>
      <c r="J14" s="3">
        <v>24.206</v>
      </c>
      <c r="K14" s="3">
        <v>47.863999999999997</v>
      </c>
      <c r="L14" s="5">
        <v>44124</v>
      </c>
      <c r="M14" s="10" t="s">
        <v>33</v>
      </c>
      <c r="N14" s="3"/>
    </row>
    <row r="15" spans="1:14" x14ac:dyDescent="0.3">
      <c r="A15" s="9">
        <f t="shared" si="0"/>
        <v>14</v>
      </c>
      <c r="B15" s="3" t="s">
        <v>143</v>
      </c>
      <c r="C15" s="3" t="s">
        <v>24</v>
      </c>
      <c r="D15" s="6">
        <v>39965</v>
      </c>
      <c r="E15" s="3" t="s">
        <v>19</v>
      </c>
      <c r="F15" s="3">
        <v>4</v>
      </c>
      <c r="G15" s="3" t="s">
        <v>31</v>
      </c>
      <c r="H15" s="3" t="s">
        <v>37</v>
      </c>
      <c r="I15" s="3">
        <v>802.37609999999995</v>
      </c>
      <c r="J15" s="3">
        <v>19.410720000000001</v>
      </c>
      <c r="K15" s="3">
        <v>48.069000000000003</v>
      </c>
      <c r="L15" s="5">
        <v>44102</v>
      </c>
      <c r="M15" s="10" t="s">
        <v>33</v>
      </c>
      <c r="N15" s="3"/>
    </row>
    <row r="16" spans="1:14" x14ac:dyDescent="0.3">
      <c r="A16" s="9">
        <f t="shared" si="0"/>
        <v>15</v>
      </c>
      <c r="B16" s="3" t="s">
        <v>176</v>
      </c>
      <c r="C16" s="3" t="s">
        <v>24</v>
      </c>
      <c r="D16" s="6"/>
      <c r="E16" s="3"/>
      <c r="F16" s="3">
        <v>5</v>
      </c>
      <c r="G16" s="3"/>
      <c r="H16" s="3" t="s">
        <v>32</v>
      </c>
      <c r="I16" s="3">
        <v>911.79100000000005</v>
      </c>
      <c r="J16" s="3">
        <v>17.808</v>
      </c>
      <c r="K16" s="3">
        <v>57.225000000000001</v>
      </c>
      <c r="L16" s="5">
        <v>44102</v>
      </c>
      <c r="M16" s="10" t="s">
        <v>33</v>
      </c>
      <c r="N16" s="3"/>
    </row>
    <row r="17" spans="1:14" x14ac:dyDescent="0.3">
      <c r="A17" s="9">
        <f t="shared" si="0"/>
        <v>16</v>
      </c>
      <c r="B17" s="3" t="s">
        <v>154</v>
      </c>
      <c r="C17" s="3" t="s">
        <v>25</v>
      </c>
      <c r="D17" s="6">
        <v>46235</v>
      </c>
      <c r="E17" s="3" t="s">
        <v>18</v>
      </c>
      <c r="F17" s="3">
        <v>4</v>
      </c>
      <c r="G17" s="3" t="s">
        <v>47</v>
      </c>
      <c r="H17" s="3" t="s">
        <v>37</v>
      </c>
      <c r="I17" s="3">
        <v>820.61189999999999</v>
      </c>
      <c r="J17" s="3">
        <v>17.808</v>
      </c>
      <c r="K17" s="3">
        <v>48.095999999999997</v>
      </c>
      <c r="L17" s="5">
        <v>44102</v>
      </c>
      <c r="M17" s="10" t="s">
        <v>33</v>
      </c>
      <c r="N17" s="3"/>
    </row>
    <row r="18" spans="1:14" x14ac:dyDescent="0.3">
      <c r="A18" s="9">
        <f t="shared" si="0"/>
        <v>17</v>
      </c>
      <c r="B18" s="3" t="s">
        <v>155</v>
      </c>
      <c r="C18" s="3" t="s">
        <v>24</v>
      </c>
      <c r="D18" s="6">
        <v>44256</v>
      </c>
      <c r="E18" s="3" t="s">
        <v>19</v>
      </c>
      <c r="F18" s="3">
        <v>4</v>
      </c>
      <c r="G18" s="3" t="s">
        <v>47</v>
      </c>
      <c r="H18" s="3" t="s">
        <v>97</v>
      </c>
      <c r="I18" s="3">
        <v>1012.088</v>
      </c>
      <c r="J18" s="3">
        <v>16.072199999999999</v>
      </c>
      <c r="K18" s="3">
        <v>66.953249999999997</v>
      </c>
      <c r="L18" s="5">
        <v>44102</v>
      </c>
      <c r="M18" s="10" t="s">
        <v>33</v>
      </c>
      <c r="N18" s="3"/>
    </row>
    <row r="19" spans="1:14" x14ac:dyDescent="0.3">
      <c r="A19" s="9">
        <f t="shared" si="0"/>
        <v>18</v>
      </c>
      <c r="B19" s="3" t="s">
        <v>157</v>
      </c>
      <c r="C19" s="3" t="s">
        <v>24</v>
      </c>
      <c r="D19" s="6">
        <v>37681</v>
      </c>
      <c r="E19" s="3" t="s">
        <v>18</v>
      </c>
      <c r="F19" s="3">
        <v>5</v>
      </c>
      <c r="G19" s="3" t="s">
        <v>44</v>
      </c>
      <c r="H19" s="3" t="s">
        <v>32</v>
      </c>
      <c r="I19" s="3">
        <v>962.85320000000002</v>
      </c>
      <c r="J19" s="3">
        <v>22.344000000000001</v>
      </c>
      <c r="K19" s="3">
        <v>71.796000000000006</v>
      </c>
      <c r="L19" s="5">
        <v>44102</v>
      </c>
      <c r="M19" s="10" t="s">
        <v>33</v>
      </c>
      <c r="N19" s="3"/>
    </row>
    <row r="20" spans="1:14" x14ac:dyDescent="0.3">
      <c r="A20" s="9">
        <f t="shared" si="0"/>
        <v>19</v>
      </c>
      <c r="B20" s="3" t="s">
        <v>159</v>
      </c>
      <c r="C20" s="3" t="s">
        <v>25</v>
      </c>
      <c r="D20" s="6">
        <v>40057</v>
      </c>
      <c r="E20" s="3" t="s">
        <v>19</v>
      </c>
      <c r="F20" s="3">
        <v>4</v>
      </c>
      <c r="G20" s="3" t="s">
        <v>31</v>
      </c>
      <c r="H20" s="3" t="s">
        <v>97</v>
      </c>
      <c r="I20" s="3">
        <v>1002.9701</v>
      </c>
      <c r="J20" s="3">
        <v>19.588799999999999</v>
      </c>
      <c r="K20" s="3">
        <v>62.945700000000002</v>
      </c>
      <c r="L20" s="5">
        <v>44102</v>
      </c>
      <c r="M20" s="10" t="s">
        <v>33</v>
      </c>
      <c r="N20" s="3"/>
    </row>
    <row r="21" spans="1:14" x14ac:dyDescent="0.3">
      <c r="A21" s="9">
        <f t="shared" si="0"/>
        <v>20</v>
      </c>
      <c r="B21" s="3" t="s">
        <v>170</v>
      </c>
      <c r="C21" s="3" t="s">
        <v>24</v>
      </c>
      <c r="D21" s="6">
        <v>46327</v>
      </c>
      <c r="E21" s="3" t="s">
        <v>19</v>
      </c>
      <c r="F21" s="3">
        <v>4</v>
      </c>
      <c r="G21" s="3" t="s">
        <v>35</v>
      </c>
      <c r="H21" s="3" t="s">
        <v>37</v>
      </c>
      <c r="I21" s="3">
        <v>775.02233999999999</v>
      </c>
      <c r="J21" s="3">
        <v>14.2464</v>
      </c>
      <c r="K21" s="3">
        <v>58.941749999999999</v>
      </c>
      <c r="L21" s="5">
        <v>44102</v>
      </c>
      <c r="M21" s="10" t="s">
        <v>33</v>
      </c>
      <c r="N21" s="3"/>
    </row>
    <row r="22" spans="1:14" x14ac:dyDescent="0.3">
      <c r="A22" s="9">
        <f t="shared" si="0"/>
        <v>21</v>
      </c>
      <c r="B22" s="3" t="s">
        <v>10</v>
      </c>
      <c r="C22" s="3" t="s">
        <v>25</v>
      </c>
      <c r="D22" s="6">
        <v>42522</v>
      </c>
      <c r="E22" s="3" t="s">
        <v>19</v>
      </c>
      <c r="F22" s="3">
        <v>5</v>
      </c>
      <c r="G22" s="3" t="s">
        <v>35</v>
      </c>
      <c r="H22" s="3" t="s">
        <v>42</v>
      </c>
      <c r="I22" s="3">
        <v>819.85519999999997</v>
      </c>
      <c r="J22" s="3">
        <v>20.481999999999999</v>
      </c>
      <c r="K22" s="3">
        <v>52.052100000000003</v>
      </c>
      <c r="L22" s="5">
        <v>44102</v>
      </c>
      <c r="M22" s="10" t="s">
        <v>33</v>
      </c>
      <c r="N22" s="3"/>
    </row>
    <row r="23" spans="1:14" x14ac:dyDescent="0.3">
      <c r="A23" s="9">
        <f t="shared" si="0"/>
        <v>22</v>
      </c>
      <c r="B23" s="3" t="s">
        <v>41</v>
      </c>
      <c r="C23" s="3" t="s">
        <v>24</v>
      </c>
      <c r="D23" s="6">
        <v>37561</v>
      </c>
      <c r="E23" s="3" t="s">
        <v>18</v>
      </c>
      <c r="F23" s="3">
        <v>4</v>
      </c>
      <c r="G23" s="3" t="s">
        <v>38</v>
      </c>
      <c r="H23" s="3" t="s">
        <v>40</v>
      </c>
      <c r="I23" s="3">
        <v>911.79100000000005</v>
      </c>
      <c r="J23" s="3">
        <v>18.876480000000001</v>
      </c>
      <c r="K23" s="3">
        <v>56.080500000000001</v>
      </c>
      <c r="L23" s="5">
        <v>44102</v>
      </c>
      <c r="M23" s="10" t="s">
        <v>33</v>
      </c>
      <c r="N23" s="3"/>
    </row>
    <row r="24" spans="1:14" x14ac:dyDescent="0.3">
      <c r="A24" s="9">
        <f t="shared" si="0"/>
        <v>23</v>
      </c>
      <c r="B24" s="3" t="s">
        <v>84</v>
      </c>
      <c r="C24" s="3" t="s">
        <v>24</v>
      </c>
      <c r="D24" s="6">
        <v>43101</v>
      </c>
      <c r="E24" s="3" t="s">
        <v>19</v>
      </c>
      <c r="F24" s="3">
        <v>4</v>
      </c>
      <c r="G24" s="3" t="s">
        <v>44</v>
      </c>
      <c r="H24" s="3" t="s">
        <v>42</v>
      </c>
      <c r="I24" s="3">
        <v>802.37609999999995</v>
      </c>
      <c r="J24" s="3">
        <v>17.808</v>
      </c>
      <c r="K24" s="3">
        <v>50.357999999999997</v>
      </c>
      <c r="L24" s="5">
        <v>44146</v>
      </c>
      <c r="M24" s="10" t="s">
        <v>48</v>
      </c>
      <c r="N24" s="3"/>
    </row>
    <row r="25" spans="1:14" x14ac:dyDescent="0.3">
      <c r="A25" s="9">
        <f t="shared" si="0"/>
        <v>24</v>
      </c>
      <c r="B25" s="3" t="s">
        <v>183</v>
      </c>
      <c r="C25" s="3" t="s">
        <v>24</v>
      </c>
      <c r="D25" s="6">
        <v>42644</v>
      </c>
      <c r="E25" s="3" t="s">
        <v>18</v>
      </c>
      <c r="F25" s="3">
        <v>4</v>
      </c>
      <c r="G25" s="3" t="s">
        <v>38</v>
      </c>
      <c r="H25" s="3" t="s">
        <v>97</v>
      </c>
      <c r="I25" s="3">
        <v>939.14469999999994</v>
      </c>
      <c r="J25" s="3">
        <v>20.835360000000001</v>
      </c>
      <c r="K25" s="3">
        <v>66.953249999999997</v>
      </c>
      <c r="L25" s="5">
        <v>44166</v>
      </c>
      <c r="M25" s="10" t="s">
        <v>48</v>
      </c>
      <c r="N25" s="12"/>
    </row>
    <row r="26" spans="1:14" x14ac:dyDescent="0.3">
      <c r="A26" s="9">
        <f t="shared" si="0"/>
        <v>25</v>
      </c>
      <c r="B26" s="3" t="s">
        <v>12</v>
      </c>
      <c r="C26" s="3" t="s">
        <v>25</v>
      </c>
      <c r="D26" s="6">
        <v>11658</v>
      </c>
      <c r="E26" s="3" t="s">
        <v>18</v>
      </c>
      <c r="F26" s="3">
        <v>5</v>
      </c>
      <c r="G26" s="3" t="s">
        <v>47</v>
      </c>
      <c r="H26" s="3" t="s">
        <v>40</v>
      </c>
      <c r="I26" s="3">
        <v>1143.9839999999999</v>
      </c>
      <c r="J26" s="3">
        <v>19.550999999999998</v>
      </c>
      <c r="K26" s="3">
        <v>57.436799999999998</v>
      </c>
      <c r="L26" s="5">
        <v>44166</v>
      </c>
      <c r="M26" s="10" t="s">
        <v>48</v>
      </c>
      <c r="N26" s="3"/>
    </row>
    <row r="27" spans="1:14" x14ac:dyDescent="0.3">
      <c r="A27" s="9">
        <f t="shared" si="0"/>
        <v>26</v>
      </c>
      <c r="B27" s="3" t="s">
        <v>62</v>
      </c>
      <c r="C27" s="3" t="s">
        <v>25</v>
      </c>
      <c r="D27" s="6">
        <v>41518</v>
      </c>
      <c r="E27" s="3" t="s">
        <v>19</v>
      </c>
      <c r="F27" s="3">
        <v>5</v>
      </c>
      <c r="G27" s="3" t="s">
        <v>47</v>
      </c>
      <c r="H27" s="3" t="s">
        <v>32</v>
      </c>
      <c r="I27" s="3">
        <v>1029.5856000000001</v>
      </c>
      <c r="J27" s="3">
        <v>19.550999999999998</v>
      </c>
      <c r="K27" s="3">
        <v>68.206199999999995</v>
      </c>
      <c r="L27" s="5">
        <v>44188</v>
      </c>
      <c r="M27" s="10" t="s">
        <v>43</v>
      </c>
      <c r="N27" s="3"/>
    </row>
    <row r="28" spans="1:14" x14ac:dyDescent="0.3">
      <c r="A28" s="9">
        <f t="shared" si="0"/>
        <v>27</v>
      </c>
      <c r="B28" s="3" t="s">
        <v>63</v>
      </c>
      <c r="C28" s="3" t="s">
        <v>25</v>
      </c>
      <c r="D28" s="6">
        <v>42767</v>
      </c>
      <c r="E28" s="3" t="s">
        <v>22</v>
      </c>
      <c r="F28" s="3">
        <v>5</v>
      </c>
      <c r="G28" s="3" t="s">
        <v>49</v>
      </c>
      <c r="H28" s="3" t="s">
        <v>32</v>
      </c>
      <c r="I28" s="3">
        <v>1039.1188</v>
      </c>
      <c r="J28" s="3">
        <v>24.392199999999999</v>
      </c>
      <c r="K28" s="3">
        <v>60.847110000000001</v>
      </c>
      <c r="L28" s="14">
        <v>44944</v>
      </c>
      <c r="M28" s="15" t="s">
        <v>43</v>
      </c>
      <c r="N28" s="3"/>
    </row>
    <row r="29" spans="1:14" x14ac:dyDescent="0.3">
      <c r="A29" s="9">
        <f t="shared" si="0"/>
        <v>28</v>
      </c>
      <c r="B29" s="3" t="s">
        <v>17</v>
      </c>
      <c r="C29" s="3" t="s">
        <v>24</v>
      </c>
      <c r="D29" s="6">
        <v>37591</v>
      </c>
      <c r="E29" s="3" t="s">
        <v>18</v>
      </c>
      <c r="F29" s="3">
        <v>5</v>
      </c>
      <c r="G29" s="3" t="s">
        <v>44</v>
      </c>
      <c r="H29" s="3" t="s">
        <v>42</v>
      </c>
      <c r="I29" s="3">
        <v>762.65599999999995</v>
      </c>
      <c r="J29" s="3">
        <v>26.068000000000001</v>
      </c>
      <c r="K29" s="3">
        <v>49.060600000000001</v>
      </c>
      <c r="L29" s="5">
        <v>44208</v>
      </c>
      <c r="M29" s="10" t="s">
        <v>43</v>
      </c>
      <c r="N29" s="3"/>
    </row>
    <row r="30" spans="1:14" x14ac:dyDescent="0.3">
      <c r="A30" s="9">
        <f t="shared" si="0"/>
        <v>29</v>
      </c>
      <c r="B30" s="3" t="s">
        <v>92</v>
      </c>
      <c r="C30" s="3" t="s">
        <v>24</v>
      </c>
      <c r="D30" s="6">
        <v>42186</v>
      </c>
      <c r="E30" s="3" t="s">
        <v>18</v>
      </c>
      <c r="F30" s="3">
        <v>5</v>
      </c>
      <c r="G30" s="3" t="s">
        <v>38</v>
      </c>
      <c r="H30" s="3" t="s">
        <v>40</v>
      </c>
      <c r="I30" s="3">
        <v>1210.7164</v>
      </c>
      <c r="J30" s="3">
        <v>8.2858999999999998</v>
      </c>
      <c r="K30" s="3">
        <v>68.206199999999995</v>
      </c>
      <c r="L30" s="5">
        <v>44257</v>
      </c>
      <c r="M30" s="10" t="s">
        <v>39</v>
      </c>
      <c r="N30" s="3"/>
    </row>
    <row r="31" spans="1:14" x14ac:dyDescent="0.3">
      <c r="A31" s="9">
        <f t="shared" si="0"/>
        <v>30</v>
      </c>
      <c r="B31" s="3" t="s">
        <v>16</v>
      </c>
      <c r="C31" s="3" t="s">
        <v>25</v>
      </c>
      <c r="D31" s="6">
        <v>42826</v>
      </c>
      <c r="E31" s="3" t="s">
        <v>18</v>
      </c>
      <c r="F31" s="3">
        <v>5</v>
      </c>
      <c r="G31" s="3" t="s">
        <v>35</v>
      </c>
      <c r="H31" s="3" t="s">
        <v>40</v>
      </c>
      <c r="I31" s="3">
        <v>991.45280000000002</v>
      </c>
      <c r="J31" s="3">
        <v>27.185199999999998</v>
      </c>
      <c r="K31" s="3">
        <v>62.223199999999999</v>
      </c>
      <c r="L31" s="5">
        <v>44230</v>
      </c>
      <c r="M31" s="10" t="s">
        <v>39</v>
      </c>
      <c r="N31" s="3"/>
    </row>
    <row r="32" spans="1:14" x14ac:dyDescent="0.3">
      <c r="A32" s="9">
        <f t="shared" si="0"/>
        <v>31</v>
      </c>
      <c r="B32" s="3" t="s">
        <v>160</v>
      </c>
      <c r="C32" s="3" t="s">
        <v>24</v>
      </c>
      <c r="D32" s="6">
        <v>47119</v>
      </c>
      <c r="E32" s="3" t="s">
        <v>19</v>
      </c>
      <c r="F32" s="3">
        <v>4</v>
      </c>
      <c r="G32" s="3" t="s">
        <v>44</v>
      </c>
      <c r="H32" s="3" t="s">
        <v>40</v>
      </c>
      <c r="I32" s="3">
        <v>1030.3239000000001</v>
      </c>
      <c r="J32" s="3">
        <v>20.12304</v>
      </c>
      <c r="K32" s="3">
        <v>59.514000000000003</v>
      </c>
      <c r="L32" s="5">
        <v>44292</v>
      </c>
      <c r="M32" s="10" t="s">
        <v>161</v>
      </c>
      <c r="N32" s="3"/>
    </row>
    <row r="33" spans="1:14" x14ac:dyDescent="0.3">
      <c r="A33" s="9">
        <f t="shared" si="0"/>
        <v>32</v>
      </c>
      <c r="B33" s="3" t="s">
        <v>114</v>
      </c>
      <c r="C33" s="3" t="s">
        <v>24</v>
      </c>
      <c r="D33" s="6">
        <v>45931</v>
      </c>
      <c r="E33" s="3" t="s">
        <v>19</v>
      </c>
      <c r="F33" s="3">
        <v>5</v>
      </c>
      <c r="G33" s="3" t="s">
        <v>44</v>
      </c>
      <c r="H33" s="3" t="s">
        <v>97</v>
      </c>
      <c r="I33" s="3">
        <v>1029.5856000000001</v>
      </c>
      <c r="J33" s="3">
        <v>26.6266</v>
      </c>
      <c r="K33" s="3">
        <v>58.45391</v>
      </c>
      <c r="L33" s="5">
        <v>44334</v>
      </c>
      <c r="M33" s="10" t="s">
        <v>115</v>
      </c>
      <c r="N33" s="3"/>
    </row>
    <row r="34" spans="1:14" x14ac:dyDescent="0.3">
      <c r="A34" s="9">
        <f t="shared" ref="A34:A65" si="1">ROW(A33)</f>
        <v>33</v>
      </c>
      <c r="B34" s="3" t="s">
        <v>186</v>
      </c>
      <c r="C34" s="3" t="s">
        <v>24</v>
      </c>
      <c r="D34" s="6">
        <v>46935</v>
      </c>
      <c r="E34" s="3" t="s">
        <v>18</v>
      </c>
      <c r="F34" s="3">
        <v>4</v>
      </c>
      <c r="G34" s="3" t="s">
        <v>38</v>
      </c>
      <c r="H34" s="3" t="s">
        <v>37</v>
      </c>
      <c r="I34" s="3">
        <v>784.14026000000001</v>
      </c>
      <c r="J34" s="3">
        <v>20.12304</v>
      </c>
      <c r="K34" s="3">
        <v>49.213500000000003</v>
      </c>
      <c r="L34" s="5">
        <v>44314</v>
      </c>
      <c r="M34" s="10" t="s">
        <v>115</v>
      </c>
      <c r="N34" s="3"/>
    </row>
    <row r="35" spans="1:14" x14ac:dyDescent="0.3">
      <c r="A35" s="9">
        <f t="shared" si="1"/>
        <v>34</v>
      </c>
      <c r="B35" s="3" t="s">
        <v>95</v>
      </c>
      <c r="C35" s="3" t="s">
        <v>25</v>
      </c>
      <c r="D35" s="6">
        <v>47392</v>
      </c>
      <c r="E35" s="3" t="s">
        <v>21</v>
      </c>
      <c r="F35" s="3">
        <v>5</v>
      </c>
      <c r="G35" s="3" t="s">
        <v>35</v>
      </c>
      <c r="H35" s="3" t="s">
        <v>40</v>
      </c>
      <c r="I35" s="3">
        <v>1039.1188</v>
      </c>
      <c r="J35" s="3">
        <v>23.088799999999999</v>
      </c>
      <c r="K35" s="3">
        <v>62.8215</v>
      </c>
      <c r="L35" s="5">
        <v>44376</v>
      </c>
      <c r="M35" s="10" t="s">
        <v>121</v>
      </c>
      <c r="N35" s="3"/>
    </row>
    <row r="36" spans="1:14" x14ac:dyDescent="0.3">
      <c r="A36" s="9">
        <f t="shared" si="1"/>
        <v>35</v>
      </c>
      <c r="B36" s="3" t="s">
        <v>11</v>
      </c>
      <c r="C36" s="3" t="s">
        <v>24</v>
      </c>
      <c r="D36" s="6">
        <v>46997</v>
      </c>
      <c r="E36" s="3" t="s">
        <v>21</v>
      </c>
      <c r="F36" s="3">
        <v>5</v>
      </c>
      <c r="G36" s="3" t="s">
        <v>44</v>
      </c>
      <c r="H36" s="3" t="s">
        <v>32</v>
      </c>
      <c r="I36" s="3">
        <v>1000.986</v>
      </c>
      <c r="J36" s="3">
        <v>26.6266</v>
      </c>
      <c r="K36" s="3">
        <v>61.026600000000002</v>
      </c>
      <c r="L36" s="5">
        <v>44368</v>
      </c>
      <c r="M36" s="10" t="s">
        <v>34</v>
      </c>
      <c r="N36" s="3"/>
    </row>
    <row r="37" spans="1:14" x14ac:dyDescent="0.3">
      <c r="A37" s="9">
        <f t="shared" si="1"/>
        <v>36</v>
      </c>
      <c r="B37" s="3" t="s">
        <v>192</v>
      </c>
      <c r="C37" s="3" t="s">
        <v>24</v>
      </c>
      <c r="D37" s="6">
        <v>44348</v>
      </c>
      <c r="E37" s="3" t="s">
        <v>21</v>
      </c>
      <c r="F37" s="3">
        <v>5</v>
      </c>
      <c r="G37" s="3" t="s">
        <v>38</v>
      </c>
      <c r="H37" s="3" t="s">
        <v>42</v>
      </c>
      <c r="I37" s="3">
        <v>791.25559999999996</v>
      </c>
      <c r="J37" s="3">
        <v>25.137</v>
      </c>
      <c r="K37" s="3">
        <v>47.863999999999997</v>
      </c>
      <c r="L37" s="5">
        <v>44418</v>
      </c>
      <c r="M37" s="10" t="s">
        <v>34</v>
      </c>
      <c r="N37" s="3"/>
    </row>
    <row r="38" spans="1:14" x14ac:dyDescent="0.3">
      <c r="A38" s="9">
        <f t="shared" si="1"/>
        <v>37</v>
      </c>
      <c r="B38" s="3" t="s">
        <v>163</v>
      </c>
      <c r="C38" s="3" t="s">
        <v>24</v>
      </c>
      <c r="D38" s="6">
        <v>43739</v>
      </c>
      <c r="E38" s="3" t="s">
        <v>21</v>
      </c>
      <c r="F38" s="3">
        <v>4</v>
      </c>
      <c r="G38" s="3" t="s">
        <v>35</v>
      </c>
      <c r="H38" s="3" t="s">
        <v>97</v>
      </c>
      <c r="I38" s="3">
        <v>993.85220000000004</v>
      </c>
      <c r="J38" s="3">
        <v>20.479199999999999</v>
      </c>
      <c r="K38" s="3">
        <v>62.432476000000001</v>
      </c>
      <c r="L38" s="5">
        <v>44418</v>
      </c>
      <c r="M38" s="10" t="s">
        <v>34</v>
      </c>
      <c r="N38" s="3"/>
    </row>
    <row r="39" spans="1:14" x14ac:dyDescent="0.3">
      <c r="A39" s="9">
        <f t="shared" si="1"/>
        <v>38</v>
      </c>
      <c r="B39" s="3" t="s">
        <v>65</v>
      </c>
      <c r="C39" s="3" t="s">
        <v>24</v>
      </c>
      <c r="D39" s="6">
        <v>38078</v>
      </c>
      <c r="E39" s="3"/>
      <c r="F39" s="3">
        <v>5</v>
      </c>
      <c r="G39" s="3" t="s">
        <v>44</v>
      </c>
      <c r="H39" s="3" t="s">
        <v>42</v>
      </c>
      <c r="I39" s="3">
        <v>848.45479999999998</v>
      </c>
      <c r="J39" s="3">
        <v>18.210360000000001</v>
      </c>
      <c r="K39" s="3">
        <v>52.650399999999998</v>
      </c>
      <c r="L39" s="5">
        <v>44440</v>
      </c>
      <c r="M39" s="10" t="s">
        <v>66</v>
      </c>
      <c r="N39" s="3"/>
    </row>
    <row r="40" spans="1:14" x14ac:dyDescent="0.3">
      <c r="A40" s="9">
        <f t="shared" si="1"/>
        <v>39</v>
      </c>
      <c r="B40" s="3" t="s">
        <v>140</v>
      </c>
      <c r="C40" s="3" t="s">
        <v>24</v>
      </c>
      <c r="D40" s="6">
        <v>41821</v>
      </c>
      <c r="E40" s="3" t="s">
        <v>21</v>
      </c>
      <c r="F40" s="3">
        <v>4</v>
      </c>
      <c r="G40" s="3" t="s">
        <v>31</v>
      </c>
      <c r="H40" s="3" t="s">
        <v>42</v>
      </c>
      <c r="I40" s="3">
        <v>802.37609999999995</v>
      </c>
      <c r="J40" s="3">
        <v>16.38336</v>
      </c>
      <c r="K40" s="3">
        <v>52.646999999999998</v>
      </c>
      <c r="L40" s="5">
        <v>44440</v>
      </c>
      <c r="M40" s="10" t="s">
        <v>66</v>
      </c>
      <c r="N40" s="3"/>
    </row>
    <row r="41" spans="1:14" x14ac:dyDescent="0.3">
      <c r="A41" s="9">
        <f t="shared" si="1"/>
        <v>40</v>
      </c>
      <c r="B41" s="3" t="s">
        <v>158</v>
      </c>
      <c r="C41" s="3" t="s">
        <v>24</v>
      </c>
      <c r="D41" s="6">
        <v>46174</v>
      </c>
      <c r="E41" s="3" t="s">
        <v>21</v>
      </c>
      <c r="F41" s="3">
        <v>5</v>
      </c>
      <c r="G41" s="3" t="s">
        <v>31</v>
      </c>
      <c r="H41" s="3" t="s">
        <v>40</v>
      </c>
      <c r="I41" s="3">
        <v>1004.79926</v>
      </c>
      <c r="J41" s="3">
        <v>26.254200000000001</v>
      </c>
      <c r="K41" s="3">
        <v>61.445410000000003</v>
      </c>
      <c r="L41" s="5">
        <v>44440</v>
      </c>
      <c r="M41" s="10" t="s">
        <v>66</v>
      </c>
      <c r="N41" s="3"/>
    </row>
    <row r="42" spans="1:14" x14ac:dyDescent="0.3">
      <c r="A42" s="9">
        <f t="shared" si="1"/>
        <v>41</v>
      </c>
      <c r="B42" s="3" t="s">
        <v>162</v>
      </c>
      <c r="C42" s="3" t="s">
        <v>24</v>
      </c>
      <c r="D42" s="6">
        <v>44593</v>
      </c>
      <c r="E42" s="3" t="s">
        <v>21</v>
      </c>
      <c r="F42" s="3">
        <v>5</v>
      </c>
      <c r="G42" s="3" t="s">
        <v>45</v>
      </c>
      <c r="H42" s="3" t="s">
        <v>37</v>
      </c>
      <c r="I42" s="3">
        <v>1048.652</v>
      </c>
      <c r="J42" s="3">
        <v>18.247599999999998</v>
      </c>
      <c r="K42" s="3">
        <v>51.154649999999997</v>
      </c>
      <c r="L42" s="5">
        <v>44460</v>
      </c>
      <c r="M42" s="10" t="s">
        <v>66</v>
      </c>
      <c r="N42" s="3"/>
    </row>
    <row r="43" spans="1:14" x14ac:dyDescent="0.3">
      <c r="A43" s="9">
        <f t="shared" si="1"/>
        <v>42</v>
      </c>
      <c r="B43" s="3" t="s">
        <v>171</v>
      </c>
      <c r="C43" s="3" t="s">
        <v>25</v>
      </c>
      <c r="D43" s="6">
        <v>44013</v>
      </c>
      <c r="E43" s="3" t="s">
        <v>99</v>
      </c>
      <c r="F43" s="3">
        <v>5</v>
      </c>
      <c r="G43" s="3" t="s">
        <v>45</v>
      </c>
      <c r="H43" s="3" t="s">
        <v>42</v>
      </c>
      <c r="I43" s="3">
        <v>1020.0524</v>
      </c>
      <c r="J43" s="3">
        <v>23.461200000000002</v>
      </c>
      <c r="K43" s="3">
        <v>63.419800000000002</v>
      </c>
      <c r="L43" s="5">
        <v>44502</v>
      </c>
      <c r="M43" s="10" t="s">
        <v>172</v>
      </c>
      <c r="N43" s="3"/>
    </row>
    <row r="44" spans="1:14" x14ac:dyDescent="0.3">
      <c r="A44" s="9">
        <f t="shared" si="1"/>
        <v>43</v>
      </c>
      <c r="B44" s="3" t="s">
        <v>173</v>
      </c>
      <c r="C44" s="3" t="s">
        <v>25</v>
      </c>
      <c r="D44" s="6">
        <v>39814</v>
      </c>
      <c r="E44" s="3" t="s">
        <v>21</v>
      </c>
      <c r="F44" s="3">
        <v>4</v>
      </c>
      <c r="G44" s="3" t="s">
        <v>38</v>
      </c>
      <c r="H44" s="3" t="s">
        <v>40</v>
      </c>
      <c r="I44" s="3">
        <v>866.20150000000001</v>
      </c>
      <c r="J44" s="3">
        <v>16.9176</v>
      </c>
      <c r="K44" s="3">
        <v>62.947499999999998</v>
      </c>
      <c r="L44" s="5">
        <v>44502</v>
      </c>
      <c r="M44" s="10" t="s">
        <v>172</v>
      </c>
      <c r="N44" s="3"/>
    </row>
    <row r="45" spans="1:14" x14ac:dyDescent="0.3">
      <c r="A45" s="9">
        <f t="shared" si="1"/>
        <v>44</v>
      </c>
      <c r="B45" s="3" t="s">
        <v>67</v>
      </c>
      <c r="C45" s="3" t="s">
        <v>25</v>
      </c>
      <c r="D45" s="6">
        <v>37043</v>
      </c>
      <c r="E45" s="3" t="s">
        <v>21</v>
      </c>
      <c r="F45" s="3">
        <v>5</v>
      </c>
      <c r="G45" s="3" t="s">
        <v>47</v>
      </c>
      <c r="H45" s="3" t="s">
        <v>97</v>
      </c>
      <c r="I45" s="3">
        <v>1000.986</v>
      </c>
      <c r="J45" s="3">
        <v>17.689</v>
      </c>
      <c r="K45" s="3">
        <v>74.667839999999998</v>
      </c>
      <c r="L45" s="5">
        <v>44544</v>
      </c>
      <c r="M45" s="10" t="s">
        <v>98</v>
      </c>
      <c r="N45" s="3"/>
    </row>
    <row r="46" spans="1:14" x14ac:dyDescent="0.3">
      <c r="A46" s="9">
        <f t="shared" si="1"/>
        <v>45</v>
      </c>
      <c r="B46" s="3" t="s">
        <v>91</v>
      </c>
      <c r="C46" s="3" t="s">
        <v>25</v>
      </c>
      <c r="D46" s="6">
        <v>43221</v>
      </c>
      <c r="E46" s="3" t="s">
        <v>21</v>
      </c>
      <c r="F46" s="3">
        <v>4</v>
      </c>
      <c r="G46" s="3" t="s">
        <v>47</v>
      </c>
      <c r="H46" s="3" t="s">
        <v>42</v>
      </c>
      <c r="I46" s="3">
        <v>802.37609999999995</v>
      </c>
      <c r="J46" s="3">
        <v>15.31488</v>
      </c>
      <c r="K46" s="3">
        <v>54.363750000000003</v>
      </c>
      <c r="L46" s="5">
        <v>44544</v>
      </c>
      <c r="M46" s="10" t="s">
        <v>98</v>
      </c>
      <c r="N46" s="3"/>
    </row>
    <row r="47" spans="1:14" x14ac:dyDescent="0.3">
      <c r="A47" s="9">
        <f t="shared" si="1"/>
        <v>46</v>
      </c>
      <c r="B47" s="3" t="s">
        <v>165</v>
      </c>
      <c r="C47" s="3" t="s">
        <v>24</v>
      </c>
      <c r="D47" s="6">
        <v>40238</v>
      </c>
      <c r="E47" s="3" t="s">
        <v>18</v>
      </c>
      <c r="F47" s="3">
        <v>5</v>
      </c>
      <c r="G47" s="3" t="s">
        <v>44</v>
      </c>
      <c r="H47" s="3" t="s">
        <v>40</v>
      </c>
      <c r="I47" s="3">
        <v>1011.47253</v>
      </c>
      <c r="J47" s="3">
        <v>23.647400000000001</v>
      </c>
      <c r="K47" s="3">
        <v>64.616399999999999</v>
      </c>
      <c r="L47" s="5">
        <v>44566</v>
      </c>
      <c r="M47" s="10" t="s">
        <v>166</v>
      </c>
      <c r="N47" s="3"/>
    </row>
    <row r="48" spans="1:14" x14ac:dyDescent="0.3">
      <c r="A48" s="9">
        <f t="shared" si="1"/>
        <v>47</v>
      </c>
      <c r="B48" s="3" t="s">
        <v>189</v>
      </c>
      <c r="C48" s="3" t="s">
        <v>24</v>
      </c>
      <c r="D48" s="6">
        <v>44317</v>
      </c>
      <c r="E48" s="3" t="s">
        <v>18</v>
      </c>
      <c r="F48" s="3">
        <v>4</v>
      </c>
      <c r="G48" s="3" t="s">
        <v>47</v>
      </c>
      <c r="H48" s="3" t="s">
        <v>40</v>
      </c>
      <c r="I48" s="3">
        <v>893.55520000000001</v>
      </c>
      <c r="J48" s="3">
        <v>16.027200000000001</v>
      </c>
      <c r="K48" s="3">
        <v>61.574100000000001</v>
      </c>
      <c r="L48" s="5">
        <v>44566</v>
      </c>
      <c r="M48" s="10" t="s">
        <v>166</v>
      </c>
      <c r="N48" s="3"/>
    </row>
    <row r="49" spans="1:14" x14ac:dyDescent="0.3">
      <c r="A49" s="9">
        <f t="shared" si="1"/>
        <v>48</v>
      </c>
      <c r="B49" s="3" t="s">
        <v>184</v>
      </c>
      <c r="C49" s="3" t="s">
        <v>24</v>
      </c>
      <c r="D49" s="6">
        <v>46539</v>
      </c>
      <c r="E49" s="3" t="s">
        <v>21</v>
      </c>
      <c r="F49" s="3">
        <v>5</v>
      </c>
      <c r="G49" s="3" t="s">
        <v>31</v>
      </c>
      <c r="H49" s="3" t="s">
        <v>37</v>
      </c>
      <c r="I49" s="3">
        <v>807.46204</v>
      </c>
      <c r="J49" s="3">
        <v>26.4404</v>
      </c>
      <c r="K49" s="3">
        <v>44.2742</v>
      </c>
      <c r="L49" s="5">
        <v>44608</v>
      </c>
      <c r="M49" s="10" t="s">
        <v>185</v>
      </c>
      <c r="N49" s="3"/>
    </row>
    <row r="50" spans="1:14" x14ac:dyDescent="0.3">
      <c r="A50" s="9">
        <f t="shared" si="1"/>
        <v>49</v>
      </c>
      <c r="B50" s="3" t="s">
        <v>15</v>
      </c>
      <c r="C50" s="3" t="s">
        <v>25</v>
      </c>
      <c r="D50" s="6">
        <v>46082</v>
      </c>
      <c r="E50" s="3" t="s">
        <v>21</v>
      </c>
      <c r="F50" s="3">
        <v>5</v>
      </c>
      <c r="G50" s="3" t="s">
        <v>45</v>
      </c>
      <c r="H50" s="3" t="s">
        <v>32</v>
      </c>
      <c r="I50" s="3">
        <v>1067.184</v>
      </c>
      <c r="J50" s="3">
        <v>23.274999999999999</v>
      </c>
      <c r="K50" s="3">
        <v>59.83</v>
      </c>
      <c r="L50" s="5">
        <v>44650</v>
      </c>
      <c r="M50" s="10" t="s">
        <v>46</v>
      </c>
      <c r="N50" s="3"/>
    </row>
    <row r="51" spans="1:14" x14ac:dyDescent="0.3">
      <c r="A51" s="9">
        <f t="shared" si="1"/>
        <v>50</v>
      </c>
      <c r="B51" s="3" t="s">
        <v>200</v>
      </c>
      <c r="C51" s="3" t="s">
        <v>24</v>
      </c>
      <c r="D51" s="6">
        <v>46569</v>
      </c>
      <c r="E51" s="3" t="s">
        <v>21</v>
      </c>
      <c r="F51" s="3">
        <v>4</v>
      </c>
      <c r="G51" s="3" t="s">
        <v>31</v>
      </c>
      <c r="H51" s="3" t="s">
        <v>32</v>
      </c>
      <c r="I51" s="3">
        <v>1030.3239000000001</v>
      </c>
      <c r="J51" s="3">
        <v>17.808</v>
      </c>
      <c r="K51" s="3">
        <v>62.947499999999998</v>
      </c>
      <c r="L51" s="5">
        <v>44733</v>
      </c>
      <c r="M51" s="10" t="s">
        <v>141</v>
      </c>
      <c r="N51" s="3"/>
    </row>
    <row r="52" spans="1:14" x14ac:dyDescent="0.3">
      <c r="A52" s="9">
        <f t="shared" si="1"/>
        <v>51</v>
      </c>
      <c r="B52" s="3" t="s">
        <v>188</v>
      </c>
      <c r="C52" s="3" t="s">
        <v>24</v>
      </c>
      <c r="D52" s="6">
        <v>43922</v>
      </c>
      <c r="E52" s="3" t="s">
        <v>18</v>
      </c>
      <c r="F52" s="3">
        <v>5</v>
      </c>
      <c r="G52" s="3" t="s">
        <v>45</v>
      </c>
      <c r="H52" s="3" t="s">
        <v>42</v>
      </c>
      <c r="I52" s="3">
        <v>1124.9167</v>
      </c>
      <c r="J52" s="3">
        <v>18.9924</v>
      </c>
      <c r="K52" s="3">
        <v>42.658790000000003</v>
      </c>
      <c r="L52" s="5">
        <v>44712</v>
      </c>
      <c r="M52" s="10" t="s">
        <v>141</v>
      </c>
      <c r="N52" s="3"/>
    </row>
    <row r="53" spans="1:14" x14ac:dyDescent="0.3">
      <c r="A53" s="9">
        <f t="shared" si="1"/>
        <v>52</v>
      </c>
      <c r="B53" s="3" t="s">
        <v>167</v>
      </c>
      <c r="C53" s="3" t="s">
        <v>25</v>
      </c>
      <c r="D53" s="6">
        <v>45474</v>
      </c>
      <c r="E53" s="3" t="s">
        <v>21</v>
      </c>
      <c r="F53" s="3">
        <v>4</v>
      </c>
      <c r="G53" s="3" t="s">
        <v>35</v>
      </c>
      <c r="H53" s="3" t="s">
        <v>37</v>
      </c>
      <c r="I53" s="3">
        <v>893.55520000000001</v>
      </c>
      <c r="J53" s="3">
        <v>18.876480000000001</v>
      </c>
      <c r="K53" s="3">
        <v>57.339449999999999</v>
      </c>
      <c r="L53" s="5">
        <v>44755</v>
      </c>
      <c r="M53" s="10" t="s">
        <v>168</v>
      </c>
      <c r="N53" s="3"/>
    </row>
    <row r="54" spans="1:14" x14ac:dyDescent="0.3">
      <c r="A54" s="9">
        <f t="shared" si="1"/>
        <v>53</v>
      </c>
      <c r="B54" s="3" t="s">
        <v>80</v>
      </c>
      <c r="C54" s="3" t="s">
        <v>24</v>
      </c>
      <c r="D54" s="6">
        <v>39569</v>
      </c>
      <c r="E54" s="3" t="s">
        <v>22</v>
      </c>
      <c r="F54" s="3">
        <v>4</v>
      </c>
      <c r="G54" s="3" t="s">
        <v>49</v>
      </c>
      <c r="H54" s="3" t="s">
        <v>42</v>
      </c>
      <c r="I54" s="3">
        <v>820.61189999999999</v>
      </c>
      <c r="J54" s="3">
        <v>16.739519999999999</v>
      </c>
      <c r="K54" s="3">
        <v>50.357999999999997</v>
      </c>
      <c r="L54" s="5">
        <v>44797</v>
      </c>
      <c r="M54" s="10" t="s">
        <v>111</v>
      </c>
      <c r="N54" s="3"/>
    </row>
    <row r="55" spans="1:14" x14ac:dyDescent="0.3">
      <c r="A55" s="9">
        <f t="shared" si="1"/>
        <v>54</v>
      </c>
      <c r="B55" s="3" t="s">
        <v>85</v>
      </c>
      <c r="C55" s="3" t="s">
        <v>24</v>
      </c>
      <c r="D55" s="6">
        <v>44531</v>
      </c>
      <c r="E55" s="3" t="s">
        <v>22</v>
      </c>
      <c r="F55" s="3">
        <v>4</v>
      </c>
      <c r="G55" s="3" t="s">
        <v>31</v>
      </c>
      <c r="H55" s="3" t="s">
        <v>97</v>
      </c>
      <c r="I55" s="3">
        <v>1039.4418000000001</v>
      </c>
      <c r="J55" s="3">
        <v>18.698399999999999</v>
      </c>
      <c r="K55" s="3">
        <v>60.658499999999997</v>
      </c>
      <c r="L55" s="5">
        <v>44813</v>
      </c>
      <c r="M55" s="10" t="s">
        <v>111</v>
      </c>
      <c r="N55" s="3"/>
    </row>
    <row r="56" spans="1:14" x14ac:dyDescent="0.3">
      <c r="A56" s="9">
        <f t="shared" si="1"/>
        <v>55</v>
      </c>
      <c r="B56" s="3" t="s">
        <v>174</v>
      </c>
      <c r="C56" s="3" t="s">
        <v>25</v>
      </c>
      <c r="D56" s="6">
        <v>47453</v>
      </c>
      <c r="E56" s="3" t="s">
        <v>22</v>
      </c>
      <c r="F56" s="3">
        <v>5</v>
      </c>
      <c r="G56" s="3" t="s">
        <v>49</v>
      </c>
      <c r="H56" s="3" t="s">
        <v>42</v>
      </c>
      <c r="I56" s="3">
        <v>844.64153999999996</v>
      </c>
      <c r="J56" s="3">
        <v>20.854399999999998</v>
      </c>
      <c r="K56" s="3">
        <v>49.060600000000001</v>
      </c>
      <c r="L56" s="5">
        <v>44797</v>
      </c>
      <c r="M56" s="10" t="s">
        <v>111</v>
      </c>
      <c r="N56" s="3"/>
    </row>
    <row r="57" spans="1:14" x14ac:dyDescent="0.3">
      <c r="A57" s="9">
        <f t="shared" si="1"/>
        <v>56</v>
      </c>
      <c r="B57" s="3" t="s">
        <v>72</v>
      </c>
      <c r="C57" s="3" t="s">
        <v>24</v>
      </c>
      <c r="D57" s="6">
        <v>37742</v>
      </c>
      <c r="E57" s="3" t="s">
        <v>22</v>
      </c>
      <c r="F57" s="3">
        <v>4</v>
      </c>
      <c r="G57" s="3" t="s">
        <v>45</v>
      </c>
      <c r="H57" s="3" t="s">
        <v>40</v>
      </c>
      <c r="I57" s="3">
        <v>911.79100000000005</v>
      </c>
      <c r="J57" s="3">
        <v>17.808</v>
      </c>
      <c r="K57" s="3">
        <v>57.225000000000001</v>
      </c>
      <c r="L57" s="5">
        <v>44832</v>
      </c>
      <c r="M57" s="10" t="s">
        <v>103</v>
      </c>
      <c r="N57" s="3"/>
    </row>
    <row r="58" spans="1:14" x14ac:dyDescent="0.3">
      <c r="A58" s="9">
        <f t="shared" si="1"/>
        <v>57</v>
      </c>
      <c r="B58" s="3" t="s">
        <v>81</v>
      </c>
      <c r="C58" s="3" t="s">
        <v>25</v>
      </c>
      <c r="D58" s="6">
        <v>45078</v>
      </c>
      <c r="E58" s="3" t="s">
        <v>22</v>
      </c>
      <c r="F58" s="3">
        <v>5</v>
      </c>
      <c r="G58" s="3" t="s">
        <v>31</v>
      </c>
      <c r="H58" s="3" t="s">
        <v>40</v>
      </c>
      <c r="I58" s="3">
        <v>972.38639999999998</v>
      </c>
      <c r="J58" s="3">
        <v>24.764600000000002</v>
      </c>
      <c r="K58" s="3">
        <v>66.889939999999996</v>
      </c>
      <c r="L58" s="5">
        <v>44832</v>
      </c>
      <c r="M58" s="10" t="s">
        <v>103</v>
      </c>
      <c r="N58" s="3"/>
    </row>
    <row r="59" spans="1:14" x14ac:dyDescent="0.3">
      <c r="A59" s="9">
        <f t="shared" si="1"/>
        <v>58</v>
      </c>
      <c r="B59" s="3" t="s">
        <v>153</v>
      </c>
      <c r="C59" s="3" t="s">
        <v>24</v>
      </c>
      <c r="D59" s="6">
        <v>37956</v>
      </c>
      <c r="E59" s="3" t="s">
        <v>22</v>
      </c>
      <c r="F59" s="3">
        <v>5</v>
      </c>
      <c r="G59" s="3" t="s">
        <v>45</v>
      </c>
      <c r="H59" s="3" t="s">
        <v>32</v>
      </c>
      <c r="I59" s="3">
        <v>1182.1168</v>
      </c>
      <c r="J59" s="3">
        <v>17.8752</v>
      </c>
      <c r="K59" s="3">
        <v>56.71884</v>
      </c>
      <c r="L59" s="5">
        <v>44848</v>
      </c>
      <c r="M59" s="10" t="s">
        <v>103</v>
      </c>
      <c r="N59" s="3"/>
    </row>
    <row r="60" spans="1:14" x14ac:dyDescent="0.3">
      <c r="A60" s="9">
        <f t="shared" si="1"/>
        <v>59</v>
      </c>
      <c r="B60" s="3" t="s">
        <v>142</v>
      </c>
      <c r="C60" s="3" t="s">
        <v>24</v>
      </c>
      <c r="D60" s="6">
        <v>43800</v>
      </c>
      <c r="E60" s="3" t="s">
        <v>22</v>
      </c>
      <c r="F60" s="3">
        <v>4</v>
      </c>
      <c r="G60" s="3" t="s">
        <v>44</v>
      </c>
      <c r="H60" s="3" t="s">
        <v>32</v>
      </c>
      <c r="I60" s="3">
        <v>930.02679999999998</v>
      </c>
      <c r="J60" s="3">
        <v>18.164159999999999</v>
      </c>
      <c r="K60" s="3">
        <v>54.936</v>
      </c>
      <c r="L60" s="5">
        <v>44883</v>
      </c>
      <c r="M60" s="10" t="s">
        <v>50</v>
      </c>
      <c r="N60" s="3"/>
    </row>
    <row r="61" spans="1:14" x14ac:dyDescent="0.3">
      <c r="A61" s="9">
        <f t="shared" si="1"/>
        <v>60</v>
      </c>
      <c r="B61" s="3" t="s">
        <v>13</v>
      </c>
      <c r="C61" s="3" t="s">
        <v>24</v>
      </c>
      <c r="D61" s="6">
        <v>46661</v>
      </c>
      <c r="E61" s="3" t="s">
        <v>22</v>
      </c>
      <c r="F61" s="3">
        <v>5</v>
      </c>
      <c r="G61" s="3" t="s">
        <v>49</v>
      </c>
      <c r="H61" s="3" t="s">
        <v>37</v>
      </c>
      <c r="I61" s="3">
        <v>806.50869999999998</v>
      </c>
      <c r="J61" s="3">
        <v>23.274999999999999</v>
      </c>
      <c r="K61" s="3">
        <v>49.060600000000001</v>
      </c>
      <c r="L61" s="5">
        <v>44867</v>
      </c>
      <c r="M61" s="10" t="s">
        <v>50</v>
      </c>
      <c r="N61" s="3"/>
    </row>
    <row r="62" spans="1:14" x14ac:dyDescent="0.3">
      <c r="A62" s="9">
        <f t="shared" si="1"/>
        <v>61</v>
      </c>
      <c r="B62" s="3" t="s">
        <v>87</v>
      </c>
      <c r="C62" s="3" t="s">
        <v>24</v>
      </c>
      <c r="D62" s="6">
        <v>44044</v>
      </c>
      <c r="E62" s="3" t="s">
        <v>22</v>
      </c>
      <c r="F62" s="3">
        <v>4</v>
      </c>
      <c r="G62" s="3" t="s">
        <v>35</v>
      </c>
      <c r="H62" s="3" t="s">
        <v>42</v>
      </c>
      <c r="I62" s="3">
        <v>802.37609999999995</v>
      </c>
      <c r="J62" s="3">
        <v>16.4724</v>
      </c>
      <c r="K62" s="3">
        <v>52.646999999999998</v>
      </c>
      <c r="L62" s="5">
        <v>44902</v>
      </c>
      <c r="M62" s="10" t="s">
        <v>116</v>
      </c>
      <c r="N62" s="3"/>
    </row>
    <row r="63" spans="1:14" x14ac:dyDescent="0.3">
      <c r="A63" s="9">
        <f t="shared" si="1"/>
        <v>62</v>
      </c>
      <c r="B63" s="3" t="s">
        <v>177</v>
      </c>
      <c r="C63" s="3" t="s">
        <v>25</v>
      </c>
      <c r="D63" s="6">
        <v>37622</v>
      </c>
      <c r="E63" s="3" t="s">
        <v>22</v>
      </c>
      <c r="F63" s="3">
        <v>5</v>
      </c>
      <c r="G63" s="3" t="s">
        <v>35</v>
      </c>
      <c r="H63" s="3" t="s">
        <v>37</v>
      </c>
      <c r="I63" s="3">
        <v>791.25559999999996</v>
      </c>
      <c r="J63" s="3">
        <v>25.509399999999999</v>
      </c>
      <c r="K63" s="3">
        <v>47.265700000000002</v>
      </c>
      <c r="L63" s="5">
        <v>44902</v>
      </c>
      <c r="M63" s="10" t="s">
        <v>116</v>
      </c>
      <c r="N63" s="3"/>
    </row>
    <row r="64" spans="1:14" x14ac:dyDescent="0.3">
      <c r="A64" s="9">
        <f t="shared" si="1"/>
        <v>63</v>
      </c>
      <c r="B64" s="3" t="s">
        <v>187</v>
      </c>
      <c r="C64" s="3" t="s">
        <v>24</v>
      </c>
      <c r="D64" s="6">
        <v>38777</v>
      </c>
      <c r="E64" s="3" t="s">
        <v>18</v>
      </c>
      <c r="F64" s="3">
        <v>4</v>
      </c>
      <c r="G64" s="3" t="s">
        <v>49</v>
      </c>
      <c r="H64" s="3" t="s">
        <v>40</v>
      </c>
      <c r="I64" s="3">
        <v>1030.3239000000001</v>
      </c>
      <c r="J64" s="3">
        <v>17.808</v>
      </c>
      <c r="K64" s="3">
        <v>62.947499999999998</v>
      </c>
      <c r="L64" s="5">
        <v>44944</v>
      </c>
      <c r="M64" s="10" t="s">
        <v>191</v>
      </c>
      <c r="N64" s="3"/>
    </row>
    <row r="65" spans="1:14" x14ac:dyDescent="0.3">
      <c r="A65" s="9">
        <f t="shared" si="1"/>
        <v>64</v>
      </c>
      <c r="B65" s="3" t="s">
        <v>82</v>
      </c>
      <c r="C65" s="3" t="s">
        <v>24</v>
      </c>
      <c r="D65" s="6">
        <v>39173</v>
      </c>
      <c r="E65" s="3" t="s">
        <v>22</v>
      </c>
      <c r="F65" s="3">
        <v>5</v>
      </c>
      <c r="G65" s="3" t="s">
        <v>38</v>
      </c>
      <c r="H65" s="3" t="s">
        <v>97</v>
      </c>
      <c r="I65" s="3">
        <v>1220.2496000000001</v>
      </c>
      <c r="J65" s="3">
        <v>20.668199999999999</v>
      </c>
      <c r="K65" s="3">
        <v>48.88111</v>
      </c>
      <c r="L65" s="5">
        <v>44986</v>
      </c>
      <c r="M65" s="10" t="s">
        <v>112</v>
      </c>
      <c r="N65" s="3"/>
    </row>
    <row r="66" spans="1:14" x14ac:dyDescent="0.3">
      <c r="A66" s="9">
        <f t="shared" ref="A66:A97" si="2">ROW(A65)</f>
        <v>65</v>
      </c>
      <c r="B66" s="3" t="s">
        <v>147</v>
      </c>
      <c r="C66" s="3" t="s">
        <v>25</v>
      </c>
      <c r="D66" s="6">
        <v>40756</v>
      </c>
      <c r="E66" s="3" t="s">
        <v>19</v>
      </c>
      <c r="F66" s="3">
        <v>4</v>
      </c>
      <c r="G66" s="3" t="s">
        <v>44</v>
      </c>
      <c r="H66" s="3" t="s">
        <v>40</v>
      </c>
      <c r="I66" s="3">
        <v>1048.5597</v>
      </c>
      <c r="J66" s="3">
        <v>18.698399999999999</v>
      </c>
      <c r="K66" s="3">
        <v>59.800125000000001</v>
      </c>
      <c r="L66" s="5">
        <v>45006</v>
      </c>
      <c r="M66" s="10" t="s">
        <v>112</v>
      </c>
      <c r="N66" s="3"/>
    </row>
    <row r="67" spans="1:14" x14ac:dyDescent="0.3">
      <c r="A67" s="9">
        <f t="shared" si="2"/>
        <v>66</v>
      </c>
      <c r="B67" s="3" t="s">
        <v>69</v>
      </c>
      <c r="C67" s="3" t="s">
        <v>25</v>
      </c>
      <c r="D67" s="6">
        <v>45748</v>
      </c>
      <c r="E67" s="3" t="s">
        <v>18</v>
      </c>
      <c r="F67" s="3">
        <v>5</v>
      </c>
      <c r="G67" s="3" t="s">
        <v>49</v>
      </c>
      <c r="H67" s="3" t="s">
        <v>37</v>
      </c>
      <c r="I67" s="3">
        <v>1039.1188</v>
      </c>
      <c r="J67" s="3">
        <v>14.989100000000001</v>
      </c>
      <c r="K67" s="3">
        <v>38.889499999999998</v>
      </c>
      <c r="L67" s="5">
        <v>45048</v>
      </c>
      <c r="M67" s="10" t="s">
        <v>101</v>
      </c>
      <c r="N67" s="3"/>
    </row>
    <row r="68" spans="1:14" x14ac:dyDescent="0.3">
      <c r="A68" s="9">
        <f t="shared" si="2"/>
        <v>67</v>
      </c>
      <c r="B68" s="3" t="s">
        <v>122</v>
      </c>
      <c r="C68" s="3" t="s">
        <v>25</v>
      </c>
      <c r="D68" s="6">
        <v>39995</v>
      </c>
      <c r="E68" s="3" t="s">
        <v>22</v>
      </c>
      <c r="F68" s="3">
        <v>4</v>
      </c>
      <c r="G68" s="3" t="s">
        <v>49</v>
      </c>
      <c r="H68" s="3" t="s">
        <v>97</v>
      </c>
      <c r="I68" s="3">
        <v>1002.9701</v>
      </c>
      <c r="J68" s="3">
        <v>19.588799999999999</v>
      </c>
      <c r="K68" s="3">
        <v>62.947499999999998</v>
      </c>
      <c r="L68" s="5">
        <v>45048</v>
      </c>
      <c r="M68" s="10" t="s">
        <v>101</v>
      </c>
      <c r="N68" s="3"/>
    </row>
    <row r="69" spans="1:14" x14ac:dyDescent="0.3">
      <c r="A69" s="9">
        <f t="shared" si="2"/>
        <v>68</v>
      </c>
      <c r="B69" s="3" t="s">
        <v>124</v>
      </c>
      <c r="C69" s="3" t="s">
        <v>24</v>
      </c>
      <c r="D69" s="6">
        <v>44562</v>
      </c>
      <c r="E69" s="3" t="s">
        <v>21</v>
      </c>
      <c r="F69" s="3">
        <v>4</v>
      </c>
      <c r="G69" s="3" t="s">
        <v>49</v>
      </c>
      <c r="H69" s="3" t="s">
        <v>32</v>
      </c>
      <c r="I69" s="3">
        <v>1021.20593</v>
      </c>
      <c r="J69" s="3">
        <v>18.698399999999999</v>
      </c>
      <c r="K69" s="3">
        <v>45.78</v>
      </c>
      <c r="L69" s="5">
        <v>45070</v>
      </c>
      <c r="M69" s="10" t="s">
        <v>125</v>
      </c>
      <c r="N69" s="3"/>
    </row>
    <row r="70" spans="1:14" x14ac:dyDescent="0.3">
      <c r="A70" s="9">
        <f t="shared" si="2"/>
        <v>69</v>
      </c>
      <c r="B70" s="3" t="s">
        <v>88</v>
      </c>
      <c r="C70" s="3" t="s">
        <v>25</v>
      </c>
      <c r="D70" s="6">
        <v>45536</v>
      </c>
      <c r="E70" s="3" t="s">
        <v>104</v>
      </c>
      <c r="F70" s="3">
        <v>4</v>
      </c>
      <c r="G70" s="3" t="s">
        <v>44</v>
      </c>
      <c r="H70" s="3" t="s">
        <v>97</v>
      </c>
      <c r="I70" s="3">
        <v>1012.088</v>
      </c>
      <c r="J70" s="3">
        <v>21.369599999999998</v>
      </c>
      <c r="K70" s="3">
        <v>59.399549999999998</v>
      </c>
      <c r="L70" s="5">
        <v>45174</v>
      </c>
      <c r="M70" s="10" t="s">
        <v>119</v>
      </c>
      <c r="N70" s="3"/>
    </row>
    <row r="71" spans="1:14" x14ac:dyDescent="0.3">
      <c r="A71" s="9">
        <f t="shared" si="2"/>
        <v>70</v>
      </c>
      <c r="B71" s="3" t="s">
        <v>144</v>
      </c>
      <c r="C71" s="3" t="s">
        <v>24</v>
      </c>
      <c r="D71" s="6">
        <v>45690</v>
      </c>
      <c r="E71" s="3" t="s">
        <v>104</v>
      </c>
      <c r="F71" s="3">
        <v>4</v>
      </c>
      <c r="G71" s="3" t="s">
        <v>35</v>
      </c>
      <c r="H71" s="3" t="s">
        <v>32</v>
      </c>
      <c r="I71" s="3">
        <v>1039.4418000000001</v>
      </c>
      <c r="J71" s="3">
        <v>19.410720000000001</v>
      </c>
      <c r="K71" s="3">
        <v>59.685676999999998</v>
      </c>
      <c r="L71" s="5">
        <v>45154</v>
      </c>
      <c r="M71" s="10" t="s">
        <v>119</v>
      </c>
      <c r="N71" s="3"/>
    </row>
    <row r="72" spans="1:14" x14ac:dyDescent="0.3">
      <c r="A72" s="9">
        <f t="shared" si="2"/>
        <v>71</v>
      </c>
      <c r="B72" s="3" t="s">
        <v>145</v>
      </c>
      <c r="C72" s="3" t="s">
        <v>25</v>
      </c>
      <c r="D72" s="6">
        <v>37288</v>
      </c>
      <c r="E72" s="3" t="s">
        <v>104</v>
      </c>
      <c r="F72" s="3">
        <v>5</v>
      </c>
      <c r="G72" s="3" t="s">
        <v>38</v>
      </c>
      <c r="H72" s="3" t="s">
        <v>42</v>
      </c>
      <c r="I72" s="3">
        <v>857.98800000000006</v>
      </c>
      <c r="J72" s="3">
        <v>24.764600000000002</v>
      </c>
      <c r="K72" s="3">
        <v>41.881</v>
      </c>
      <c r="L72" s="5">
        <v>45154</v>
      </c>
      <c r="M72" s="10" t="s">
        <v>119</v>
      </c>
      <c r="N72" s="3"/>
    </row>
    <row r="73" spans="1:14" x14ac:dyDescent="0.3">
      <c r="A73" s="9">
        <f t="shared" si="2"/>
        <v>72</v>
      </c>
      <c r="B73" s="3" t="s">
        <v>151</v>
      </c>
      <c r="C73" s="3" t="s">
        <v>25</v>
      </c>
      <c r="D73" s="6">
        <v>43435</v>
      </c>
      <c r="E73" s="3" t="s">
        <v>104</v>
      </c>
      <c r="F73" s="3">
        <v>5</v>
      </c>
      <c r="G73" s="3" t="s">
        <v>45</v>
      </c>
      <c r="H73" s="3" t="s">
        <v>37</v>
      </c>
      <c r="I73" s="3">
        <v>1143.9839999999999</v>
      </c>
      <c r="J73" s="3">
        <v>16.218</v>
      </c>
      <c r="K73" s="3">
        <v>44.872500000000002</v>
      </c>
      <c r="L73" s="5">
        <v>45196</v>
      </c>
      <c r="M73" s="10" t="s">
        <v>152</v>
      </c>
      <c r="N73" s="3"/>
    </row>
    <row r="74" spans="1:14" x14ac:dyDescent="0.3">
      <c r="A74" s="9">
        <f t="shared" si="2"/>
        <v>73</v>
      </c>
      <c r="B74" s="3" t="s">
        <v>178</v>
      </c>
      <c r="C74" s="3" t="s">
        <v>25</v>
      </c>
      <c r="D74" s="6">
        <v>45231</v>
      </c>
      <c r="E74" s="3" t="s">
        <v>104</v>
      </c>
      <c r="F74" s="3">
        <v>5</v>
      </c>
      <c r="G74" s="3" t="s">
        <v>44</v>
      </c>
      <c r="H74" s="3" t="s">
        <v>37</v>
      </c>
      <c r="I74" s="3">
        <v>1058.1851799999999</v>
      </c>
      <c r="J74" s="3">
        <v>24.206</v>
      </c>
      <c r="K74" s="3">
        <v>59.411189999999998</v>
      </c>
      <c r="L74" s="5">
        <v>45216</v>
      </c>
      <c r="M74" s="10" t="s">
        <v>152</v>
      </c>
      <c r="N74" s="3"/>
    </row>
    <row r="75" spans="1:14" x14ac:dyDescent="0.3">
      <c r="A75" s="9">
        <f t="shared" si="2"/>
        <v>74</v>
      </c>
      <c r="B75" s="3" t="s">
        <v>73</v>
      </c>
      <c r="C75" s="3" t="s">
        <v>24</v>
      </c>
      <c r="D75" s="6">
        <v>40269</v>
      </c>
      <c r="E75" s="3" t="s">
        <v>104</v>
      </c>
      <c r="F75" s="3">
        <v>4</v>
      </c>
      <c r="G75" s="3" t="s">
        <v>44</v>
      </c>
      <c r="H75" s="3" t="s">
        <v>37</v>
      </c>
      <c r="I75" s="3">
        <v>902.67309999999998</v>
      </c>
      <c r="J75" s="3">
        <v>14.51352</v>
      </c>
      <c r="K75" s="3">
        <v>45.78</v>
      </c>
      <c r="L75" s="5">
        <v>45238</v>
      </c>
      <c r="M75" s="10" t="s">
        <v>105</v>
      </c>
      <c r="N75" s="3"/>
    </row>
    <row r="76" spans="1:14" x14ac:dyDescent="0.3">
      <c r="A76" s="9">
        <f t="shared" si="2"/>
        <v>75</v>
      </c>
      <c r="B76" s="3" t="s">
        <v>89</v>
      </c>
      <c r="C76" s="3" t="s">
        <v>24</v>
      </c>
      <c r="D76" s="6">
        <v>41548</v>
      </c>
      <c r="E76" s="3" t="s">
        <v>104</v>
      </c>
      <c r="F76" s="3">
        <v>5</v>
      </c>
      <c r="G76" s="3" t="s">
        <v>45</v>
      </c>
      <c r="H76" s="3" t="s">
        <v>32</v>
      </c>
      <c r="I76" s="3">
        <v>1191.6500000000001</v>
      </c>
      <c r="J76" s="3">
        <v>18.9924</v>
      </c>
      <c r="K76" s="3">
        <v>54.146149999999999</v>
      </c>
      <c r="L76" s="5">
        <v>45238</v>
      </c>
      <c r="M76" s="10" t="s">
        <v>105</v>
      </c>
      <c r="N76" s="3"/>
    </row>
    <row r="77" spans="1:14" x14ac:dyDescent="0.3">
      <c r="A77" s="9">
        <f t="shared" si="2"/>
        <v>76</v>
      </c>
      <c r="B77" s="3" t="s">
        <v>75</v>
      </c>
      <c r="C77" s="3" t="s">
        <v>24</v>
      </c>
      <c r="D77" s="6">
        <v>40179</v>
      </c>
      <c r="E77" s="3" t="s">
        <v>104</v>
      </c>
      <c r="F77" s="3">
        <v>4</v>
      </c>
      <c r="G77" s="3" t="s">
        <v>38</v>
      </c>
      <c r="H77" s="3" t="s">
        <v>40</v>
      </c>
      <c r="I77" s="3">
        <v>1002.9701</v>
      </c>
      <c r="J77" s="3">
        <v>16.205279999999998</v>
      </c>
      <c r="K77" s="3">
        <v>50.701349999999998</v>
      </c>
      <c r="L77" s="5">
        <v>45300</v>
      </c>
      <c r="M77" s="10" t="s">
        <v>108</v>
      </c>
      <c r="N77" s="3"/>
    </row>
    <row r="78" spans="1:14" x14ac:dyDescent="0.3">
      <c r="A78" s="9">
        <f t="shared" si="2"/>
        <v>77</v>
      </c>
      <c r="B78" s="3" t="s">
        <v>150</v>
      </c>
      <c r="C78" s="3" t="s">
        <v>24</v>
      </c>
      <c r="D78" s="6">
        <v>42583</v>
      </c>
      <c r="E78" s="3" t="s">
        <v>104</v>
      </c>
      <c r="F78" s="3">
        <v>5</v>
      </c>
      <c r="G78" s="3" t="s">
        <v>47</v>
      </c>
      <c r="H78" s="3" t="s">
        <v>97</v>
      </c>
      <c r="I78" s="3">
        <v>984.77954</v>
      </c>
      <c r="J78" s="3">
        <v>27.371400000000001</v>
      </c>
      <c r="K78" s="3">
        <v>61.74456</v>
      </c>
      <c r="L78" s="5">
        <v>45280</v>
      </c>
      <c r="M78" s="10" t="s">
        <v>108</v>
      </c>
      <c r="N78" s="3"/>
    </row>
    <row r="79" spans="1:14" x14ac:dyDescent="0.3">
      <c r="A79" s="9">
        <f t="shared" si="2"/>
        <v>78</v>
      </c>
      <c r="B79" s="3" t="s">
        <v>90</v>
      </c>
      <c r="C79" s="3" t="s">
        <v>25</v>
      </c>
      <c r="D79" s="6">
        <v>44896</v>
      </c>
      <c r="E79" s="3" t="s">
        <v>18</v>
      </c>
      <c r="F79" s="3">
        <v>4</v>
      </c>
      <c r="G79" s="3" t="s">
        <v>38</v>
      </c>
      <c r="H79" s="3" t="s">
        <v>97</v>
      </c>
      <c r="I79" s="3">
        <v>957.38054999999997</v>
      </c>
      <c r="J79" s="3">
        <v>25.28736</v>
      </c>
      <c r="K79" s="3">
        <v>58.941749999999999</v>
      </c>
      <c r="L79" s="5">
        <v>45322</v>
      </c>
      <c r="M79" s="10" t="s">
        <v>117</v>
      </c>
      <c r="N79" s="3"/>
    </row>
    <row r="80" spans="1:14" x14ac:dyDescent="0.3">
      <c r="A80" s="9">
        <f t="shared" si="2"/>
        <v>79</v>
      </c>
      <c r="B80" s="3" t="s">
        <v>179</v>
      </c>
      <c r="C80" s="3" t="s">
        <v>24</v>
      </c>
      <c r="D80" s="6">
        <v>40634</v>
      </c>
      <c r="E80" s="3" t="s">
        <v>18</v>
      </c>
      <c r="F80" s="3">
        <v>5</v>
      </c>
      <c r="G80" s="3" t="s">
        <v>35</v>
      </c>
      <c r="H80" s="3" t="s">
        <v>37</v>
      </c>
      <c r="I80" s="3">
        <v>810.322</v>
      </c>
      <c r="J80" s="3">
        <v>26.068000000000001</v>
      </c>
      <c r="K80" s="3">
        <v>44.573349999999998</v>
      </c>
      <c r="L80" s="5">
        <v>45322</v>
      </c>
      <c r="M80" s="10" t="s">
        <v>117</v>
      </c>
      <c r="N80" s="3"/>
    </row>
    <row r="81" spans="1:14" x14ac:dyDescent="0.3">
      <c r="A81" s="9">
        <f t="shared" si="2"/>
        <v>80</v>
      </c>
      <c r="B81" s="3" t="s">
        <v>76</v>
      </c>
      <c r="C81" s="3" t="s">
        <v>24</v>
      </c>
      <c r="D81" s="6">
        <v>42948</v>
      </c>
      <c r="E81" s="3" t="s">
        <v>21</v>
      </c>
      <c r="F81" s="3">
        <v>5</v>
      </c>
      <c r="G81" s="3" t="s">
        <v>47</v>
      </c>
      <c r="H81" s="3" t="s">
        <v>32</v>
      </c>
      <c r="I81" s="3">
        <v>890.40089999999998</v>
      </c>
      <c r="J81" s="3">
        <v>25.137</v>
      </c>
      <c r="K81" s="3">
        <v>74.1892</v>
      </c>
      <c r="L81" s="5">
        <v>45364</v>
      </c>
      <c r="M81" s="10" t="s">
        <v>109</v>
      </c>
      <c r="N81" s="3"/>
    </row>
    <row r="82" spans="1:14" x14ac:dyDescent="0.3">
      <c r="A82" s="9">
        <f t="shared" si="2"/>
        <v>81</v>
      </c>
      <c r="B82" s="3" t="s">
        <v>68</v>
      </c>
      <c r="C82" s="3" t="s">
        <v>25</v>
      </c>
      <c r="D82" s="6">
        <v>44774</v>
      </c>
      <c r="E82" s="3" t="s">
        <v>99</v>
      </c>
      <c r="F82" s="3">
        <v>5</v>
      </c>
      <c r="G82" s="3" t="s">
        <v>38</v>
      </c>
      <c r="H82" s="3" t="s">
        <v>40</v>
      </c>
      <c r="I82" s="3">
        <v>1020.0524</v>
      </c>
      <c r="J82" s="3">
        <v>26.6266</v>
      </c>
      <c r="K82" s="3">
        <v>59.530850000000001</v>
      </c>
      <c r="L82" s="5">
        <v>45406</v>
      </c>
      <c r="M82" s="10" t="s">
        <v>100</v>
      </c>
      <c r="N82" s="3"/>
    </row>
    <row r="83" spans="1:14" x14ac:dyDescent="0.3">
      <c r="A83" s="9">
        <f t="shared" si="2"/>
        <v>82</v>
      </c>
      <c r="B83" s="3" t="s">
        <v>79</v>
      </c>
      <c r="C83" s="3" t="s">
        <v>24</v>
      </c>
      <c r="D83" s="6">
        <v>44075</v>
      </c>
      <c r="E83" s="3" t="s">
        <v>104</v>
      </c>
      <c r="F83" s="3">
        <v>5</v>
      </c>
      <c r="G83" s="3" t="s">
        <v>31</v>
      </c>
      <c r="H83" s="3" t="s">
        <v>32</v>
      </c>
      <c r="I83" s="3">
        <v>1008.6125500000001</v>
      </c>
      <c r="J83" s="3">
        <v>26.254200000000001</v>
      </c>
      <c r="K83" s="3">
        <v>61.026600000000002</v>
      </c>
      <c r="L83" s="5">
        <v>45448</v>
      </c>
      <c r="M83" s="10" t="s">
        <v>110</v>
      </c>
      <c r="N83" s="3"/>
    </row>
    <row r="84" spans="1:14" x14ac:dyDescent="0.3">
      <c r="A84" s="9">
        <f t="shared" si="2"/>
        <v>83</v>
      </c>
      <c r="B84" s="3" t="s">
        <v>164</v>
      </c>
      <c r="C84" s="3" t="s">
        <v>25</v>
      </c>
      <c r="D84" s="6">
        <v>11444</v>
      </c>
      <c r="E84" s="3" t="s">
        <v>22</v>
      </c>
      <c r="F84" s="3">
        <v>4</v>
      </c>
      <c r="G84" s="3" t="s">
        <v>31</v>
      </c>
      <c r="H84" s="3" t="s">
        <v>40</v>
      </c>
      <c r="I84" s="3">
        <v>820.61189999999999</v>
      </c>
      <c r="J84" s="3">
        <v>19.054559999999999</v>
      </c>
      <c r="K84" s="3">
        <v>46.924500000000002</v>
      </c>
      <c r="L84" s="5">
        <v>45478</v>
      </c>
      <c r="M84" s="10" t="s">
        <v>110</v>
      </c>
      <c r="N84" s="3"/>
    </row>
    <row r="85" spans="1:14" x14ac:dyDescent="0.3">
      <c r="A85" s="9">
        <f t="shared" si="2"/>
        <v>84</v>
      </c>
      <c r="B85" s="3" t="s">
        <v>169</v>
      </c>
      <c r="C85" s="3" t="s">
        <v>24</v>
      </c>
      <c r="D85" s="6">
        <v>11018</v>
      </c>
      <c r="E85" s="3" t="s">
        <v>104</v>
      </c>
      <c r="F85" s="3">
        <v>5</v>
      </c>
      <c r="G85" s="3" t="s">
        <v>45</v>
      </c>
      <c r="H85" s="3" t="s">
        <v>42</v>
      </c>
      <c r="I85" s="3">
        <v>1039.1188</v>
      </c>
      <c r="J85" s="3">
        <v>14.989100000000001</v>
      </c>
      <c r="K85" s="3">
        <v>38.889499999999998</v>
      </c>
      <c r="L85" s="5">
        <v>45468</v>
      </c>
      <c r="M85" s="10" t="s">
        <v>110</v>
      </c>
      <c r="N85" s="3"/>
    </row>
    <row r="86" spans="1:14" x14ac:dyDescent="0.3">
      <c r="A86" s="9">
        <f t="shared" si="2"/>
        <v>85</v>
      </c>
      <c r="B86" s="3" t="s">
        <v>86</v>
      </c>
      <c r="C86" s="3" t="s">
        <v>24</v>
      </c>
      <c r="D86" s="6">
        <v>44805</v>
      </c>
      <c r="E86" s="3" t="s">
        <v>104</v>
      </c>
      <c r="F86" s="3">
        <v>5</v>
      </c>
      <c r="G86" s="3" t="s">
        <v>49</v>
      </c>
      <c r="H86" s="3" t="s">
        <v>40</v>
      </c>
      <c r="I86" s="3">
        <v>1056.2786000000001</v>
      </c>
      <c r="J86" s="3">
        <v>26.068000000000001</v>
      </c>
      <c r="K86" s="3">
        <v>56.838500000000003</v>
      </c>
      <c r="L86" s="5">
        <v>45479</v>
      </c>
      <c r="M86" s="10" t="s">
        <v>113</v>
      </c>
      <c r="N86" s="3"/>
    </row>
    <row r="87" spans="1:14" x14ac:dyDescent="0.3">
      <c r="A87" s="9">
        <f t="shared" si="2"/>
        <v>86</v>
      </c>
      <c r="B87" s="3" t="s">
        <v>94</v>
      </c>
      <c r="C87" s="3" t="s">
        <v>24</v>
      </c>
      <c r="D87" s="6">
        <v>44652</v>
      </c>
      <c r="E87" s="3" t="s">
        <v>106</v>
      </c>
      <c r="F87" s="3">
        <v>4</v>
      </c>
      <c r="G87" s="3" t="s">
        <v>47</v>
      </c>
      <c r="H87" s="3" t="s">
        <v>40</v>
      </c>
      <c r="I87" s="3">
        <v>989.29319999999996</v>
      </c>
      <c r="J87" s="3">
        <v>18.164159999999999</v>
      </c>
      <c r="K87" s="3">
        <v>66.438225000000003</v>
      </c>
      <c r="L87" s="5">
        <v>45440</v>
      </c>
      <c r="M87" s="10" t="s">
        <v>120</v>
      </c>
      <c r="N87" s="3"/>
    </row>
    <row r="88" spans="1:14" x14ac:dyDescent="0.3">
      <c r="A88" s="9">
        <f t="shared" si="2"/>
        <v>87</v>
      </c>
      <c r="B88" s="3" t="s">
        <v>123</v>
      </c>
      <c r="C88" s="3" t="s">
        <v>25</v>
      </c>
      <c r="D88" s="6">
        <v>40848</v>
      </c>
      <c r="E88" s="3" t="s">
        <v>106</v>
      </c>
      <c r="F88" s="3">
        <v>5</v>
      </c>
      <c r="G88" s="3" t="s">
        <v>49</v>
      </c>
      <c r="H88" s="3" t="s">
        <v>97</v>
      </c>
      <c r="I88" s="3">
        <v>1000.986</v>
      </c>
      <c r="J88" s="3">
        <v>25.881799999999998</v>
      </c>
      <c r="K88" s="3">
        <v>62.40269</v>
      </c>
      <c r="L88" s="5">
        <v>45552</v>
      </c>
      <c r="M88" s="10" t="s">
        <v>120</v>
      </c>
      <c r="N88" s="3"/>
    </row>
    <row r="89" spans="1:14" x14ac:dyDescent="0.3">
      <c r="A89" s="9">
        <f t="shared" si="2"/>
        <v>88</v>
      </c>
      <c r="B89" s="3" t="s">
        <v>149</v>
      </c>
      <c r="C89" s="3" t="s">
        <v>24</v>
      </c>
      <c r="D89" s="6">
        <v>37834</v>
      </c>
      <c r="E89" s="3" t="s">
        <v>106</v>
      </c>
      <c r="F89" s="3">
        <v>5</v>
      </c>
      <c r="G89" s="3" t="s">
        <v>45</v>
      </c>
      <c r="H89" s="3" t="s">
        <v>37</v>
      </c>
      <c r="I89" s="3">
        <v>1182.1168</v>
      </c>
      <c r="J89" s="3">
        <v>14.151199999999999</v>
      </c>
      <c r="K89" s="3">
        <v>44.393859999999997</v>
      </c>
      <c r="L89" s="5">
        <v>45532</v>
      </c>
      <c r="M89" s="10" t="s">
        <v>120</v>
      </c>
      <c r="N89" s="3"/>
    </row>
    <row r="90" spans="1:14" x14ac:dyDescent="0.3">
      <c r="A90" s="9">
        <f t="shared" si="2"/>
        <v>89</v>
      </c>
      <c r="B90" s="3" t="s">
        <v>180</v>
      </c>
      <c r="C90" s="3" t="s">
        <v>24</v>
      </c>
      <c r="D90" s="6">
        <v>41334</v>
      </c>
      <c r="E90" s="3" t="s">
        <v>106</v>
      </c>
      <c r="F90" s="3">
        <v>5</v>
      </c>
      <c r="G90" s="3" t="s">
        <v>47</v>
      </c>
      <c r="H90" s="3" t="s">
        <v>32</v>
      </c>
      <c r="I90" s="3">
        <v>965.71312999999998</v>
      </c>
      <c r="J90" s="3">
        <v>21.413</v>
      </c>
      <c r="K90" s="3">
        <v>72.394300000000001</v>
      </c>
      <c r="L90" s="5">
        <v>45574</v>
      </c>
      <c r="M90" s="10" t="s">
        <v>181</v>
      </c>
      <c r="N90" s="3"/>
    </row>
    <row r="91" spans="1:14" x14ac:dyDescent="0.3">
      <c r="A91" s="9">
        <f t="shared" si="2"/>
        <v>90</v>
      </c>
      <c r="B91" s="3" t="s">
        <v>182</v>
      </c>
      <c r="C91" s="3" t="s">
        <v>25</v>
      </c>
      <c r="D91" s="6">
        <v>40087</v>
      </c>
      <c r="E91" s="3" t="s">
        <v>18</v>
      </c>
      <c r="F91" s="3">
        <v>4</v>
      </c>
      <c r="G91" s="3" t="s">
        <v>45</v>
      </c>
      <c r="H91" s="3" t="s">
        <v>32</v>
      </c>
      <c r="I91" s="3">
        <v>857.08356000000003</v>
      </c>
      <c r="J91" s="3">
        <v>16.9176</v>
      </c>
      <c r="K91" s="3">
        <v>63.519750000000002</v>
      </c>
      <c r="L91" s="5">
        <v>44102</v>
      </c>
      <c r="M91" s="10" t="s">
        <v>181</v>
      </c>
      <c r="N91" s="3"/>
    </row>
    <row r="92" spans="1:14" x14ac:dyDescent="0.3">
      <c r="A92" s="9">
        <f t="shared" si="2"/>
        <v>91</v>
      </c>
      <c r="B92" s="3" t="s">
        <v>74</v>
      </c>
      <c r="C92" s="3" t="s">
        <v>24</v>
      </c>
      <c r="D92" s="6">
        <v>40513</v>
      </c>
      <c r="E92" s="3" t="s">
        <v>106</v>
      </c>
      <c r="F92" s="3">
        <v>5</v>
      </c>
      <c r="G92" s="3" t="s">
        <v>35</v>
      </c>
      <c r="H92" s="3" t="s">
        <v>42</v>
      </c>
      <c r="I92" s="3">
        <v>762.65599999999995</v>
      </c>
      <c r="J92" s="3">
        <v>26.998999999999999</v>
      </c>
      <c r="K92" s="3">
        <v>47.863999999999997</v>
      </c>
      <c r="L92" s="5">
        <v>45616</v>
      </c>
      <c r="M92" s="10" t="s">
        <v>107</v>
      </c>
      <c r="N92" s="3"/>
    </row>
    <row r="93" spans="1:14" x14ac:dyDescent="0.3">
      <c r="A93" s="9">
        <f t="shared" si="2"/>
        <v>92</v>
      </c>
      <c r="B93" s="3" t="s">
        <v>156</v>
      </c>
      <c r="C93" s="3" t="s">
        <v>25</v>
      </c>
      <c r="D93" s="6">
        <v>41913</v>
      </c>
      <c r="E93" s="3" t="s">
        <v>106</v>
      </c>
      <c r="F93" s="3">
        <v>4</v>
      </c>
      <c r="G93" s="3" t="s">
        <v>31</v>
      </c>
      <c r="H93" s="3" t="s">
        <v>42</v>
      </c>
      <c r="I93" s="3">
        <v>775.02233999999999</v>
      </c>
      <c r="J93" s="3">
        <v>20.479199999999999</v>
      </c>
      <c r="K93" s="3">
        <v>49.213500000000003</v>
      </c>
      <c r="L93" s="5">
        <v>45624</v>
      </c>
      <c r="M93" s="10" t="s">
        <v>107</v>
      </c>
      <c r="N93" s="3"/>
    </row>
    <row r="94" spans="1:14" x14ac:dyDescent="0.3">
      <c r="A94" s="9">
        <f t="shared" si="2"/>
        <v>93</v>
      </c>
      <c r="B94" s="3" t="s">
        <v>78</v>
      </c>
      <c r="C94" s="3" t="s">
        <v>24</v>
      </c>
      <c r="D94" s="6">
        <v>43831</v>
      </c>
      <c r="E94" s="3" t="s">
        <v>106</v>
      </c>
      <c r="F94" s="3">
        <v>5</v>
      </c>
      <c r="G94" s="3" t="s">
        <v>44</v>
      </c>
      <c r="H94" s="3" t="s">
        <v>37</v>
      </c>
      <c r="I94" s="3">
        <v>905.654</v>
      </c>
      <c r="J94" s="3">
        <v>9.8686000000000007</v>
      </c>
      <c r="K94" s="3">
        <v>59.411189999999998</v>
      </c>
      <c r="L94" s="5">
        <v>45678</v>
      </c>
      <c r="M94" s="10" t="s">
        <v>36</v>
      </c>
      <c r="N94" s="3"/>
    </row>
    <row r="95" spans="1:14" x14ac:dyDescent="0.3">
      <c r="A95" s="9">
        <f t="shared" si="2"/>
        <v>94</v>
      </c>
      <c r="B95" s="3" t="s">
        <v>9</v>
      </c>
      <c r="C95" s="3" t="s">
        <v>24</v>
      </c>
      <c r="D95" s="6">
        <v>38718</v>
      </c>
      <c r="E95" s="3" t="s">
        <v>18</v>
      </c>
      <c r="F95" s="3">
        <v>4</v>
      </c>
      <c r="G95" s="3" t="s">
        <v>35</v>
      </c>
      <c r="H95" s="3" t="s">
        <v>37</v>
      </c>
      <c r="I95" s="3">
        <v>775.02233999999999</v>
      </c>
      <c r="J95" s="3">
        <v>21.013439999999999</v>
      </c>
      <c r="K95" s="3">
        <v>48.641249999999999</v>
      </c>
      <c r="L95" s="5">
        <v>45678</v>
      </c>
      <c r="M95" s="10" t="s">
        <v>36</v>
      </c>
      <c r="N95" s="3"/>
    </row>
    <row r="96" spans="1:14" x14ac:dyDescent="0.3">
      <c r="A96" s="11">
        <f t="shared" si="2"/>
        <v>95</v>
      </c>
      <c r="B96" s="12" t="s">
        <v>146</v>
      </c>
      <c r="C96" s="12" t="s">
        <v>24</v>
      </c>
      <c r="D96" s="13">
        <v>46966</v>
      </c>
      <c r="E96" s="12" t="s">
        <v>106</v>
      </c>
      <c r="F96" s="12">
        <v>5</v>
      </c>
      <c r="G96" s="12" t="s">
        <v>38</v>
      </c>
      <c r="H96" s="12" t="s">
        <v>32</v>
      </c>
      <c r="I96" s="12">
        <v>977.15300000000002</v>
      </c>
      <c r="J96" s="12">
        <v>27.93</v>
      </c>
      <c r="K96" s="12">
        <v>61.624899999999997</v>
      </c>
      <c r="L96" s="14">
        <v>45658</v>
      </c>
      <c r="M96" s="15" t="s">
        <v>36</v>
      </c>
      <c r="N96" s="12"/>
    </row>
    <row r="97" spans="1:14" x14ac:dyDescent="0.3">
      <c r="A97" s="11">
        <f t="shared" si="2"/>
        <v>96</v>
      </c>
      <c r="B97" s="12" t="s">
        <v>190</v>
      </c>
      <c r="C97" s="12" t="s">
        <v>25</v>
      </c>
      <c r="D97" s="13">
        <v>42430</v>
      </c>
      <c r="E97" s="12" t="s">
        <v>21</v>
      </c>
      <c r="F97" s="12">
        <v>5</v>
      </c>
      <c r="G97" s="12" t="s">
        <v>35</v>
      </c>
      <c r="H97" s="12" t="s">
        <v>37</v>
      </c>
      <c r="I97" s="12">
        <v>991.45280000000002</v>
      </c>
      <c r="J97" s="12">
        <v>16.757999999999999</v>
      </c>
      <c r="K97" s="12">
        <v>58.932549999999999</v>
      </c>
      <c r="L97" s="14">
        <v>45700</v>
      </c>
      <c r="M97" s="15" t="s">
        <v>193</v>
      </c>
      <c r="N97" s="12"/>
    </row>
    <row r="98" spans="1:14" x14ac:dyDescent="0.3">
      <c r="A98" s="11">
        <f t="shared" ref="A98:A111" si="3">ROW(A97)</f>
        <v>97</v>
      </c>
      <c r="B98" s="12" t="s">
        <v>201</v>
      </c>
      <c r="C98" s="12" t="s">
        <v>24</v>
      </c>
      <c r="D98" s="13">
        <v>46082</v>
      </c>
      <c r="E98" s="12" t="s">
        <v>106</v>
      </c>
      <c r="F98" s="12">
        <v>4</v>
      </c>
      <c r="G98" s="12" t="s">
        <v>31</v>
      </c>
      <c r="H98" s="12" t="s">
        <v>40</v>
      </c>
      <c r="I98" s="12">
        <v>893.55520000000001</v>
      </c>
      <c r="J98" s="12">
        <v>21.54768</v>
      </c>
      <c r="K98" s="12">
        <v>53.505375000000001</v>
      </c>
      <c r="L98" s="14">
        <v>45742</v>
      </c>
      <c r="M98" s="15" t="s">
        <v>202</v>
      </c>
      <c r="N98" s="12"/>
    </row>
    <row r="99" spans="1:14" x14ac:dyDescent="0.3">
      <c r="A99" s="11">
        <f t="shared" si="3"/>
        <v>98</v>
      </c>
      <c r="B99" s="12" t="s">
        <v>203</v>
      </c>
      <c r="C99" s="12" t="s">
        <v>24</v>
      </c>
      <c r="D99" s="13">
        <v>42309</v>
      </c>
      <c r="E99" s="12" t="s">
        <v>106</v>
      </c>
      <c r="F99" s="12">
        <v>5</v>
      </c>
      <c r="G99" s="12" t="s">
        <v>31</v>
      </c>
      <c r="H99" s="12" t="s">
        <v>37</v>
      </c>
      <c r="I99" s="12">
        <v>988.59283000000005</v>
      </c>
      <c r="J99" s="12">
        <v>27.743300000000001</v>
      </c>
      <c r="K99" s="12">
        <v>60.847110000000001</v>
      </c>
      <c r="L99" s="14">
        <v>45742</v>
      </c>
      <c r="M99" s="15" t="s">
        <v>202</v>
      </c>
      <c r="N99" s="12"/>
    </row>
    <row r="100" spans="1:14" x14ac:dyDescent="0.3">
      <c r="A100" s="11">
        <f t="shared" si="3"/>
        <v>99</v>
      </c>
      <c r="B100" s="12" t="s">
        <v>204</v>
      </c>
      <c r="C100" s="12" t="s">
        <v>24</v>
      </c>
      <c r="D100" s="13">
        <v>39600</v>
      </c>
      <c r="E100" s="12" t="s">
        <v>104</v>
      </c>
      <c r="F100" s="12">
        <v>5</v>
      </c>
      <c r="G100" s="12" t="s">
        <v>44</v>
      </c>
      <c r="H100" s="12" t="s">
        <v>40</v>
      </c>
      <c r="I100" s="12">
        <v>1039.1179999999999</v>
      </c>
      <c r="J100" s="12">
        <v>26.998999999999999</v>
      </c>
      <c r="K100" s="12">
        <v>56.958159999999999</v>
      </c>
      <c r="L100" s="14">
        <v>45784</v>
      </c>
      <c r="M100" s="15" t="s">
        <v>205</v>
      </c>
      <c r="N100" s="12"/>
    </row>
    <row r="101" spans="1:14" x14ac:dyDescent="0.3">
      <c r="A101" s="11">
        <f t="shared" si="3"/>
        <v>100</v>
      </c>
      <c r="B101" s="12" t="s">
        <v>206</v>
      </c>
      <c r="C101" s="12" t="s">
        <v>25</v>
      </c>
      <c r="D101" s="13">
        <v>44986</v>
      </c>
      <c r="E101" s="12" t="s">
        <v>106</v>
      </c>
      <c r="F101" s="12">
        <v>4</v>
      </c>
      <c r="G101" s="12" t="s">
        <v>35</v>
      </c>
      <c r="H101" s="12" t="s">
        <v>37</v>
      </c>
      <c r="I101" s="12">
        <v>845.23030000000006</v>
      </c>
      <c r="J101" s="12">
        <v>14.95872</v>
      </c>
      <c r="K101" s="12">
        <v>50.758575</v>
      </c>
      <c r="L101" s="14">
        <v>45784</v>
      </c>
      <c r="M101" s="15" t="s">
        <v>205</v>
      </c>
      <c r="N101" s="12"/>
    </row>
    <row r="102" spans="1:14" x14ac:dyDescent="0.3">
      <c r="A102" s="11">
        <f t="shared" si="3"/>
        <v>101</v>
      </c>
      <c r="B102" s="12" t="s">
        <v>207</v>
      </c>
      <c r="C102" s="12" t="s">
        <v>25</v>
      </c>
      <c r="D102" s="13">
        <v>45778</v>
      </c>
      <c r="E102" s="12" t="s">
        <v>19</v>
      </c>
      <c r="F102" s="12">
        <v>4</v>
      </c>
      <c r="G102" s="12" t="s">
        <v>45</v>
      </c>
      <c r="H102" s="12" t="s">
        <v>32</v>
      </c>
      <c r="I102" s="12">
        <v>1048.5597</v>
      </c>
      <c r="J102" s="12">
        <v>15.849119999999999</v>
      </c>
      <c r="K102" s="12">
        <v>46.924500000000002</v>
      </c>
      <c r="L102" s="14">
        <v>45826</v>
      </c>
      <c r="M102" s="15" t="s">
        <v>208</v>
      </c>
      <c r="N102" s="12"/>
    </row>
    <row r="103" spans="1:14" x14ac:dyDescent="0.3">
      <c r="A103" s="11">
        <f t="shared" si="3"/>
        <v>102</v>
      </c>
      <c r="B103" s="12" t="s">
        <v>209</v>
      </c>
      <c r="C103" s="12" t="s">
        <v>24</v>
      </c>
      <c r="D103" s="13">
        <v>38657</v>
      </c>
      <c r="E103" s="12"/>
      <c r="F103" s="12">
        <v>5</v>
      </c>
      <c r="G103" s="12" t="s">
        <v>44</v>
      </c>
      <c r="H103" s="12" t="s">
        <v>32</v>
      </c>
      <c r="I103" s="12">
        <v>966.66650000000004</v>
      </c>
      <c r="J103" s="12">
        <v>27.93</v>
      </c>
      <c r="K103" s="12">
        <v>62.761670000000002</v>
      </c>
      <c r="L103" s="14">
        <v>45826</v>
      </c>
      <c r="M103" s="15" t="s">
        <v>208</v>
      </c>
      <c r="N103" s="12"/>
    </row>
    <row r="104" spans="1:14" x14ac:dyDescent="0.3">
      <c r="A104" s="11">
        <f t="shared" si="3"/>
        <v>103</v>
      </c>
      <c r="B104" s="3" t="s">
        <v>210</v>
      </c>
      <c r="C104" s="3" t="s">
        <v>24</v>
      </c>
      <c r="D104" s="6">
        <v>37347</v>
      </c>
      <c r="E104" s="3" t="s">
        <v>211</v>
      </c>
      <c r="F104" s="3">
        <v>5</v>
      </c>
      <c r="G104" s="3" t="s">
        <v>31</v>
      </c>
      <c r="H104" s="3" t="s">
        <v>40</v>
      </c>
      <c r="I104" s="3">
        <v>981.91959999999995</v>
      </c>
      <c r="J104" s="3">
        <v>25.695599999999999</v>
      </c>
      <c r="K104" s="3">
        <v>64.436909999999997</v>
      </c>
      <c r="L104" s="5">
        <v>45868</v>
      </c>
      <c r="M104" s="10" t="s">
        <v>212</v>
      </c>
      <c r="N104" s="3"/>
    </row>
    <row r="105" spans="1:14" x14ac:dyDescent="0.3">
      <c r="A105" s="11">
        <f t="shared" si="3"/>
        <v>104</v>
      </c>
      <c r="B105" s="3" t="s">
        <v>213</v>
      </c>
      <c r="C105" s="3" t="s">
        <v>24</v>
      </c>
      <c r="D105" s="6">
        <v>44440</v>
      </c>
      <c r="E105" s="3" t="s">
        <v>211</v>
      </c>
      <c r="F105" s="3">
        <v>4</v>
      </c>
      <c r="G105" s="3" t="s">
        <v>45</v>
      </c>
      <c r="H105" s="3" t="s">
        <v>97</v>
      </c>
      <c r="I105" s="3">
        <v>939.14469999999994</v>
      </c>
      <c r="J105" s="3">
        <v>20.301120000000001</v>
      </c>
      <c r="K105" s="3">
        <v>50.930250000000001</v>
      </c>
      <c r="L105" s="5">
        <v>45910</v>
      </c>
      <c r="M105" s="10" t="s">
        <v>214</v>
      </c>
      <c r="N105" s="3"/>
    </row>
    <row r="106" spans="1:14" x14ac:dyDescent="0.3">
      <c r="A106" s="11">
        <f t="shared" si="3"/>
        <v>105</v>
      </c>
      <c r="B106" s="3" t="s">
        <v>219</v>
      </c>
      <c r="C106" s="3" t="s">
        <v>25</v>
      </c>
      <c r="D106" s="6">
        <v>48122</v>
      </c>
      <c r="E106" s="3" t="s">
        <v>211</v>
      </c>
      <c r="F106" s="3">
        <v>5</v>
      </c>
      <c r="G106" s="3" t="s">
        <v>31</v>
      </c>
      <c r="H106" s="3" t="s">
        <v>40</v>
      </c>
      <c r="I106" s="3">
        <v>972.38639999999998</v>
      </c>
      <c r="J106" s="3">
        <v>27.371400000000001</v>
      </c>
      <c r="K106" s="3">
        <v>62.941160000000004</v>
      </c>
      <c r="L106" s="5">
        <v>45930</v>
      </c>
      <c r="M106" s="10" t="s">
        <v>214</v>
      </c>
      <c r="N106" s="3"/>
    </row>
    <row r="107" spans="1:14" x14ac:dyDescent="0.3">
      <c r="A107" s="11">
        <f t="shared" si="3"/>
        <v>106</v>
      </c>
      <c r="B107" s="3" t="s">
        <v>215</v>
      </c>
      <c r="C107" s="3" t="s">
        <v>24</v>
      </c>
      <c r="D107" s="6">
        <v>36951</v>
      </c>
      <c r="E107" s="3" t="s">
        <v>211</v>
      </c>
      <c r="F107" s="3">
        <v>5</v>
      </c>
      <c r="G107" s="3" t="s">
        <v>49</v>
      </c>
      <c r="H107" s="3" t="s">
        <v>37</v>
      </c>
      <c r="I107" s="3">
        <v>829.38840000000005</v>
      </c>
      <c r="J107" s="3">
        <v>19.84892</v>
      </c>
      <c r="K107" s="3">
        <v>52.052100000000003</v>
      </c>
      <c r="L107" s="5">
        <v>45910</v>
      </c>
      <c r="M107" s="10" t="s">
        <v>214</v>
      </c>
      <c r="N107" s="3"/>
    </row>
    <row r="108" spans="1:14" x14ac:dyDescent="0.3">
      <c r="A108" s="11">
        <f t="shared" si="3"/>
        <v>107</v>
      </c>
      <c r="B108" s="3" t="s">
        <v>216</v>
      </c>
      <c r="C108" s="3" t="s">
        <v>24</v>
      </c>
      <c r="D108" s="6">
        <v>39934</v>
      </c>
      <c r="E108" s="3" t="s">
        <v>211</v>
      </c>
      <c r="F108" s="3">
        <v>5</v>
      </c>
      <c r="G108" s="3" t="s">
        <v>49</v>
      </c>
      <c r="H108" s="3" t="s">
        <v>37</v>
      </c>
      <c r="I108" s="3">
        <v>988.9742</v>
      </c>
      <c r="J108" s="3">
        <v>26.812799999999999</v>
      </c>
      <c r="K108" s="3">
        <v>62.223199999999999</v>
      </c>
      <c r="L108" s="5">
        <v>45952</v>
      </c>
      <c r="M108" s="10" t="s">
        <v>220</v>
      </c>
      <c r="N108" s="3"/>
    </row>
    <row r="109" spans="1:14" x14ac:dyDescent="0.3">
      <c r="A109" s="11">
        <f t="shared" si="3"/>
        <v>108</v>
      </c>
      <c r="B109" s="3" t="s">
        <v>217</v>
      </c>
      <c r="C109" s="3" t="s">
        <v>25</v>
      </c>
      <c r="D109" s="6">
        <v>41699</v>
      </c>
      <c r="E109" s="3" t="s">
        <v>19</v>
      </c>
      <c r="F109" s="3">
        <v>5</v>
      </c>
      <c r="G109" s="3" t="s">
        <v>38</v>
      </c>
      <c r="H109" s="3" t="s">
        <v>32</v>
      </c>
      <c r="I109" s="3">
        <v>967.61980000000005</v>
      </c>
      <c r="J109" s="3">
        <v>26.998999999999999</v>
      </c>
      <c r="K109" s="3">
        <v>64.018100000000004</v>
      </c>
      <c r="L109" s="5">
        <v>45994</v>
      </c>
      <c r="M109" s="10" t="s">
        <v>221</v>
      </c>
      <c r="N109" s="3"/>
    </row>
    <row r="110" spans="1:14" x14ac:dyDescent="0.3">
      <c r="A110" s="11">
        <f t="shared" si="3"/>
        <v>109</v>
      </c>
      <c r="B110" s="3" t="s">
        <v>218</v>
      </c>
      <c r="C110" s="3" t="s">
        <v>24</v>
      </c>
      <c r="D110" s="6">
        <v>38353</v>
      </c>
      <c r="E110" s="3" t="s">
        <v>211</v>
      </c>
      <c r="F110" s="3">
        <v>4</v>
      </c>
      <c r="G110" s="3" t="s">
        <v>35</v>
      </c>
      <c r="H110" s="3" t="s">
        <v>42</v>
      </c>
      <c r="I110" s="3">
        <v>808.7586</v>
      </c>
      <c r="J110" s="3">
        <v>18.698399999999999</v>
      </c>
      <c r="K110" s="3">
        <v>48.641249999999999</v>
      </c>
      <c r="L110" s="5">
        <v>45994</v>
      </c>
      <c r="M110" s="10" t="s">
        <v>221</v>
      </c>
      <c r="N110" s="3"/>
    </row>
    <row r="111" spans="1:14" x14ac:dyDescent="0.3">
      <c r="A111" s="11">
        <f t="shared" si="3"/>
        <v>110</v>
      </c>
      <c r="B111" s="3" t="s">
        <v>223</v>
      </c>
      <c r="C111" s="3" t="s">
        <v>24</v>
      </c>
      <c r="D111" s="6">
        <v>41640</v>
      </c>
      <c r="E111" s="3" t="s">
        <v>211</v>
      </c>
      <c r="F111" s="3">
        <v>5</v>
      </c>
      <c r="G111" s="3" t="s">
        <v>45</v>
      </c>
      <c r="H111" s="3" t="s">
        <v>37</v>
      </c>
      <c r="I111" s="3">
        <v>1143.9839999999999</v>
      </c>
      <c r="J111" s="3">
        <v>7.4480000000000004</v>
      </c>
      <c r="K111" s="3">
        <v>40.086100000000002</v>
      </c>
      <c r="L111" s="5">
        <v>46036</v>
      </c>
      <c r="M111" s="10" t="s">
        <v>222</v>
      </c>
      <c r="N111" s="3"/>
    </row>
    <row r="112" spans="1:14" x14ac:dyDescent="0.3">
      <c r="A112" s="11">
        <f>ROW(A111)</f>
        <v>111</v>
      </c>
      <c r="B112" s="12" t="s">
        <v>224</v>
      </c>
      <c r="C112" s="12"/>
      <c r="D112" s="13"/>
      <c r="E112" s="12" t="s">
        <v>211</v>
      </c>
      <c r="F112" s="12">
        <v>4</v>
      </c>
      <c r="G112" s="12" t="s">
        <v>47</v>
      </c>
      <c r="H112" s="12" t="s">
        <v>40</v>
      </c>
      <c r="I112" s="12"/>
      <c r="J112" s="12"/>
      <c r="K112" s="12"/>
      <c r="L112" s="14"/>
      <c r="M112" s="15"/>
      <c r="N112" s="12"/>
    </row>
    <row r="113" spans="1:14" x14ac:dyDescent="0.3">
      <c r="A113" s="11">
        <f>ROW(A112)</f>
        <v>112</v>
      </c>
      <c r="B113" s="12" t="s">
        <v>225</v>
      </c>
      <c r="C113" s="12"/>
      <c r="D113" s="13"/>
      <c r="E113" s="12" t="s">
        <v>18</v>
      </c>
      <c r="F113" s="12">
        <v>5</v>
      </c>
      <c r="G113" s="12" t="s">
        <v>47</v>
      </c>
      <c r="H113" s="12" t="s">
        <v>32</v>
      </c>
      <c r="I113" s="12"/>
      <c r="J113" s="12"/>
      <c r="K113" s="12"/>
      <c r="L113" s="14"/>
      <c r="M113" s="15"/>
      <c r="N113" s="12"/>
    </row>
  </sheetData>
  <phoneticPr fontId="3" type="noConversion"/>
  <conditionalFormatting sqref="G2:G113">
    <cfRule type="expression" dxfId="9" priority="2">
      <formula>$G2="DENDRO"</formula>
    </cfRule>
    <cfRule type="expression" dxfId="8" priority="3">
      <formula>$G2="CRYO"</formula>
    </cfRule>
    <cfRule type="expression" dxfId="7" priority="4">
      <formula>$G2="GEO"</formula>
    </cfRule>
    <cfRule type="expression" dxfId="6" priority="5">
      <formula>$G2="ANEMO"</formula>
    </cfRule>
    <cfRule type="expression" dxfId="5" priority="6">
      <formula>$G2="HYDRO"</formula>
    </cfRule>
    <cfRule type="expression" dxfId="4" priority="7">
      <formula>$G2="PYRO"</formula>
    </cfRule>
    <cfRule type="expression" dxfId="3" priority="8">
      <formula>$G2="ELECTRO"</formula>
    </cfRule>
    <cfRule type="expression" dxfId="2" priority="9">
      <formula>$G$2</formula>
    </cfRule>
    <cfRule type="expression" dxfId="1" priority="10">
      <formula>$G$2=ELECTRO</formula>
    </cfRule>
  </conditionalFormatting>
  <conditionalFormatting sqref="I2:I113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{416C6149-150F-4D6E-BF59-20605B341839}</x14:id>
        </ext>
      </extLst>
    </cfRule>
  </conditionalFormatting>
  <conditionalFormatting sqref="J2:J113">
    <cfRule type="cellIs" dxfId="0" priority="11" operator="greaterThan">
      <formula>20</formula>
    </cfRule>
  </conditionalFormatting>
  <dataValidations count="4">
    <dataValidation type="list" allowBlank="1" showInputMessage="1" showErrorMessage="1" sqref="F2:F113" xr:uid="{F36B167D-1F21-44A2-9715-1F694254AFA3}">
      <formula1>"4,5"</formula1>
    </dataValidation>
    <dataValidation type="list" allowBlank="1" showInputMessage="1" showErrorMessage="1" sqref="G2:G113" xr:uid="{20619B75-6C0D-41BF-8CB7-1EF536F1FAC9}">
      <formula1>"ELECTRO,PYRO,ANEMO,CRYO,DENDRO,GEO,HYDRO"</formula1>
    </dataValidation>
    <dataValidation type="list" allowBlank="1" showInputMessage="1" showErrorMessage="1" sqref="C2:C113" xr:uid="{E0D7EFE5-6558-4C72-8088-8ABA0171D9E3}">
      <formula1>"Male,Female"</formula1>
    </dataValidation>
    <dataValidation type="list" allowBlank="1" showInputMessage="1" showErrorMessage="1" sqref="H2:H113" xr:uid="{99FB7807-8DDE-4C04-93E6-D4C476DACAE2}">
      <formula1>"Sword,Polearm,Bow,Catalyst,Claymore"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C6149-150F-4D6E-BF59-20605B34183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I2:I113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E452-4B64-4E83-AAC2-1516EF74A4E2}">
  <sheetPr>
    <tabColor theme="5"/>
  </sheetPr>
  <dimension ref="A1:E51"/>
  <sheetViews>
    <sheetView zoomScaleNormal="100" workbookViewId="0">
      <selection activeCell="F14" sqref="F14"/>
    </sheetView>
  </sheetViews>
  <sheetFormatPr defaultRowHeight="14.4" x14ac:dyDescent="0.3"/>
  <cols>
    <col min="1" max="2" width="16.5546875" customWidth="1"/>
    <col min="3" max="3" width="19.33203125" customWidth="1"/>
    <col min="4" max="6" width="13.21875" customWidth="1"/>
  </cols>
  <sheetData>
    <row r="1" spans="1:5" x14ac:dyDescent="0.3">
      <c r="A1" s="1" t="s">
        <v>127</v>
      </c>
      <c r="B1" s="1" t="s">
        <v>128</v>
      </c>
      <c r="C1" s="1" t="s">
        <v>129</v>
      </c>
      <c r="D1" s="1" t="s">
        <v>228</v>
      </c>
      <c r="E1" s="20"/>
    </row>
    <row r="2" spans="1:5" x14ac:dyDescent="0.3">
      <c r="A2" s="3" t="s">
        <v>38</v>
      </c>
      <c r="B2" s="3" t="s">
        <v>38</v>
      </c>
      <c r="C2" s="3" t="s">
        <v>134</v>
      </c>
      <c r="D2" s="3">
        <v>0</v>
      </c>
    </row>
    <row r="3" spans="1:5" x14ac:dyDescent="0.3">
      <c r="A3" s="3" t="s">
        <v>38</v>
      </c>
      <c r="B3" s="3" t="s">
        <v>45</v>
      </c>
      <c r="C3" s="3" t="s">
        <v>226</v>
      </c>
      <c r="D3" s="3">
        <v>2</v>
      </c>
    </row>
    <row r="4" spans="1:5" x14ac:dyDescent="0.3">
      <c r="A4" s="3" t="s">
        <v>38</v>
      </c>
      <c r="B4" s="3" t="s">
        <v>31</v>
      </c>
      <c r="C4" s="3" t="s">
        <v>130</v>
      </c>
      <c r="D4" s="3">
        <v>2.75</v>
      </c>
    </row>
    <row r="5" spans="1:5" x14ac:dyDescent="0.3">
      <c r="A5" s="3" t="s">
        <v>38</v>
      </c>
      <c r="B5" s="3" t="s">
        <v>44</v>
      </c>
      <c r="C5" s="3" t="s">
        <v>227</v>
      </c>
      <c r="D5" s="3">
        <v>1.5</v>
      </c>
    </row>
    <row r="6" spans="1:5" x14ac:dyDescent="0.3">
      <c r="A6" s="3" t="s">
        <v>38</v>
      </c>
      <c r="B6" s="3" t="s">
        <v>49</v>
      </c>
      <c r="C6" s="3" t="s">
        <v>131</v>
      </c>
      <c r="D6" s="3">
        <v>0.25</v>
      </c>
    </row>
    <row r="7" spans="1:5" x14ac:dyDescent="0.3">
      <c r="A7" s="3" t="s">
        <v>38</v>
      </c>
      <c r="B7" s="3" t="s">
        <v>35</v>
      </c>
      <c r="C7" s="3" t="s">
        <v>132</v>
      </c>
      <c r="D7" s="3">
        <v>0.6</v>
      </c>
    </row>
    <row r="8" spans="1:5" x14ac:dyDescent="0.3">
      <c r="A8" s="3" t="s">
        <v>38</v>
      </c>
      <c r="B8" s="3" t="s">
        <v>47</v>
      </c>
      <c r="C8" s="3" t="s">
        <v>133</v>
      </c>
      <c r="D8" s="3">
        <v>0</v>
      </c>
    </row>
    <row r="9" spans="1:5" x14ac:dyDescent="0.3">
      <c r="A9" s="3" t="s">
        <v>45</v>
      </c>
      <c r="B9" s="3" t="s">
        <v>38</v>
      </c>
      <c r="C9" s="3" t="s">
        <v>226</v>
      </c>
      <c r="D9" s="3">
        <v>1.5</v>
      </c>
    </row>
    <row r="10" spans="1:5" x14ac:dyDescent="0.3">
      <c r="A10" s="3" t="s">
        <v>45</v>
      </c>
      <c r="B10" s="3" t="s">
        <v>45</v>
      </c>
      <c r="C10" s="3" t="s">
        <v>134</v>
      </c>
      <c r="D10" s="3">
        <v>0</v>
      </c>
    </row>
    <row r="11" spans="1:5" x14ac:dyDescent="0.3">
      <c r="A11" s="3" t="s">
        <v>45</v>
      </c>
      <c r="B11" s="3" t="s">
        <v>31</v>
      </c>
      <c r="C11" s="3" t="s">
        <v>135</v>
      </c>
      <c r="D11" s="3">
        <v>2</v>
      </c>
    </row>
    <row r="12" spans="1:5" x14ac:dyDescent="0.3">
      <c r="A12" s="3" t="s">
        <v>45</v>
      </c>
      <c r="B12" s="3" t="s">
        <v>44</v>
      </c>
      <c r="C12" s="3" t="s">
        <v>136</v>
      </c>
      <c r="D12" s="3">
        <v>0</v>
      </c>
    </row>
    <row r="13" spans="1:5" x14ac:dyDescent="0.3">
      <c r="A13" s="3" t="s">
        <v>45</v>
      </c>
      <c r="B13" s="3" t="s">
        <v>49</v>
      </c>
      <c r="C13" s="3" t="s">
        <v>137</v>
      </c>
      <c r="D13" s="3">
        <v>2</v>
      </c>
    </row>
    <row r="14" spans="1:5" x14ac:dyDescent="0.3">
      <c r="A14" s="3" t="s">
        <v>45</v>
      </c>
      <c r="B14" s="3" t="s">
        <v>35</v>
      </c>
      <c r="C14" s="3" t="s">
        <v>132</v>
      </c>
      <c r="D14" s="3">
        <v>0.6</v>
      </c>
    </row>
    <row r="15" spans="1:5" x14ac:dyDescent="0.3">
      <c r="A15" s="3" t="s">
        <v>45</v>
      </c>
      <c r="B15" s="3" t="s">
        <v>47</v>
      </c>
      <c r="C15" s="3" t="s">
        <v>133</v>
      </c>
      <c r="D15" s="3">
        <v>0</v>
      </c>
    </row>
    <row r="16" spans="1:5" x14ac:dyDescent="0.3">
      <c r="A16" s="3" t="s">
        <v>31</v>
      </c>
      <c r="B16" s="3" t="s">
        <v>38</v>
      </c>
      <c r="C16" s="3" t="s">
        <v>130</v>
      </c>
      <c r="D16" s="3">
        <v>2.75</v>
      </c>
    </row>
    <row r="17" spans="1:4" x14ac:dyDescent="0.3">
      <c r="A17" s="3" t="s">
        <v>31</v>
      </c>
      <c r="B17" s="3" t="s">
        <v>45</v>
      </c>
      <c r="C17" s="3" t="s">
        <v>135</v>
      </c>
      <c r="D17" s="3">
        <v>2</v>
      </c>
    </row>
    <row r="18" spans="1:4" x14ac:dyDescent="0.3">
      <c r="A18" s="3" t="s">
        <v>31</v>
      </c>
      <c r="B18" s="3" t="s">
        <v>31</v>
      </c>
      <c r="C18" s="3" t="s">
        <v>134</v>
      </c>
      <c r="D18" s="3">
        <v>0</v>
      </c>
    </row>
    <row r="19" spans="1:4" x14ac:dyDescent="0.3">
      <c r="A19" s="3" t="s">
        <v>31</v>
      </c>
      <c r="B19" s="3" t="s">
        <v>44</v>
      </c>
      <c r="C19" s="3" t="s">
        <v>138</v>
      </c>
      <c r="D19" s="3">
        <v>1.5</v>
      </c>
    </row>
    <row r="20" spans="1:4" x14ac:dyDescent="0.3">
      <c r="A20" s="3" t="s">
        <v>31</v>
      </c>
      <c r="B20" s="3" t="s">
        <v>49</v>
      </c>
      <c r="C20" s="3" t="s">
        <v>139</v>
      </c>
      <c r="D20" s="3">
        <v>2.4</v>
      </c>
    </row>
    <row r="21" spans="1:4" x14ac:dyDescent="0.3">
      <c r="A21" s="3" t="s">
        <v>31</v>
      </c>
      <c r="B21" s="3" t="s">
        <v>35</v>
      </c>
      <c r="C21" s="3" t="s">
        <v>132</v>
      </c>
      <c r="D21" s="3">
        <v>0.6</v>
      </c>
    </row>
    <row r="22" spans="1:4" x14ac:dyDescent="0.3">
      <c r="A22" s="3" t="s">
        <v>31</v>
      </c>
      <c r="B22" s="3" t="s">
        <v>47</v>
      </c>
      <c r="C22" s="3" t="s">
        <v>133</v>
      </c>
      <c r="D22" s="3">
        <v>0</v>
      </c>
    </row>
    <row r="23" spans="1:4" x14ac:dyDescent="0.3">
      <c r="A23" s="3" t="s">
        <v>44</v>
      </c>
      <c r="B23" s="3" t="s">
        <v>38</v>
      </c>
      <c r="C23" s="3" t="s">
        <v>227</v>
      </c>
      <c r="D23" s="3">
        <v>2</v>
      </c>
    </row>
    <row r="24" spans="1:4" x14ac:dyDescent="0.3">
      <c r="A24" s="3" t="s">
        <v>44</v>
      </c>
      <c r="B24" s="3" t="s">
        <v>45</v>
      </c>
      <c r="C24" s="3" t="s">
        <v>136</v>
      </c>
      <c r="D24" s="3">
        <v>0</v>
      </c>
    </row>
    <row r="25" spans="1:4" x14ac:dyDescent="0.3">
      <c r="A25" s="3" t="s">
        <v>44</v>
      </c>
      <c r="B25" s="3" t="s">
        <v>31</v>
      </c>
      <c r="C25" s="3" t="s">
        <v>138</v>
      </c>
      <c r="D25" s="3">
        <v>1.5</v>
      </c>
    </row>
    <row r="26" spans="1:4" x14ac:dyDescent="0.3">
      <c r="A26" s="3" t="s">
        <v>44</v>
      </c>
      <c r="B26" s="3" t="s">
        <v>44</v>
      </c>
      <c r="C26" s="3" t="s">
        <v>134</v>
      </c>
      <c r="D26" s="3">
        <v>0</v>
      </c>
    </row>
    <row r="27" spans="1:4" x14ac:dyDescent="0.3">
      <c r="A27" s="3" t="s">
        <v>44</v>
      </c>
      <c r="B27" s="3" t="s">
        <v>49</v>
      </c>
      <c r="C27" s="3" t="s">
        <v>134</v>
      </c>
      <c r="D27" s="3">
        <v>0</v>
      </c>
    </row>
    <row r="28" spans="1:4" x14ac:dyDescent="0.3">
      <c r="A28" s="3" t="s">
        <v>44</v>
      </c>
      <c r="B28" s="3" t="s">
        <v>35</v>
      </c>
      <c r="C28" s="3" t="s">
        <v>132</v>
      </c>
      <c r="D28" s="3">
        <v>0.6</v>
      </c>
    </row>
    <row r="29" spans="1:4" x14ac:dyDescent="0.3">
      <c r="A29" s="3" t="s">
        <v>44</v>
      </c>
      <c r="B29" s="3" t="s">
        <v>47</v>
      </c>
      <c r="C29" s="3" t="s">
        <v>133</v>
      </c>
      <c r="D29" s="3">
        <v>0</v>
      </c>
    </row>
    <row r="30" spans="1:4" x14ac:dyDescent="0.3">
      <c r="A30" s="3" t="s">
        <v>49</v>
      </c>
      <c r="B30" s="3" t="s">
        <v>38</v>
      </c>
      <c r="C30" s="3" t="s">
        <v>131</v>
      </c>
      <c r="D30" s="3">
        <v>0.25</v>
      </c>
    </row>
    <row r="31" spans="1:4" x14ac:dyDescent="0.3">
      <c r="A31" s="3" t="s">
        <v>49</v>
      </c>
      <c r="B31" s="3" t="s">
        <v>45</v>
      </c>
      <c r="C31" s="3" t="s">
        <v>137</v>
      </c>
      <c r="D31" s="3">
        <v>2</v>
      </c>
    </row>
    <row r="32" spans="1:4" x14ac:dyDescent="0.3">
      <c r="A32" s="3" t="s">
        <v>49</v>
      </c>
      <c r="B32" s="3" t="s">
        <v>31</v>
      </c>
      <c r="C32" s="3" t="s">
        <v>139</v>
      </c>
      <c r="D32" s="3">
        <v>2.4</v>
      </c>
    </row>
    <row r="33" spans="1:4" x14ac:dyDescent="0.3">
      <c r="A33" s="3" t="s">
        <v>49</v>
      </c>
      <c r="B33" s="3" t="s">
        <v>44</v>
      </c>
      <c r="C33" s="3" t="s">
        <v>134</v>
      </c>
      <c r="D33" s="3">
        <v>0</v>
      </c>
    </row>
    <row r="34" spans="1:4" x14ac:dyDescent="0.3">
      <c r="A34" s="3" t="s">
        <v>49</v>
      </c>
      <c r="B34" s="3" t="s">
        <v>49</v>
      </c>
      <c r="C34" s="3" t="s">
        <v>134</v>
      </c>
      <c r="D34" s="3">
        <v>0</v>
      </c>
    </row>
    <row r="35" spans="1:4" x14ac:dyDescent="0.3">
      <c r="A35" s="3" t="s">
        <v>49</v>
      </c>
      <c r="B35" s="3" t="s">
        <v>35</v>
      </c>
      <c r="C35" s="3" t="s">
        <v>134</v>
      </c>
      <c r="D35" s="3">
        <v>0</v>
      </c>
    </row>
    <row r="36" spans="1:4" x14ac:dyDescent="0.3">
      <c r="A36" s="3" t="s">
        <v>49</v>
      </c>
      <c r="B36" s="3" t="s">
        <v>47</v>
      </c>
      <c r="C36" s="3" t="s">
        <v>134</v>
      </c>
      <c r="D36" s="3">
        <v>0</v>
      </c>
    </row>
    <row r="37" spans="1:4" x14ac:dyDescent="0.3">
      <c r="A37" s="3" t="s">
        <v>35</v>
      </c>
      <c r="B37" s="3" t="s">
        <v>38</v>
      </c>
      <c r="C37" s="3" t="s">
        <v>132</v>
      </c>
      <c r="D37" s="3">
        <v>0.6</v>
      </c>
    </row>
    <row r="38" spans="1:4" x14ac:dyDescent="0.3">
      <c r="A38" s="3" t="s">
        <v>35</v>
      </c>
      <c r="B38" s="3" t="s">
        <v>45</v>
      </c>
      <c r="C38" s="3" t="s">
        <v>132</v>
      </c>
      <c r="D38" s="3">
        <v>0.6</v>
      </c>
    </row>
    <row r="39" spans="1:4" x14ac:dyDescent="0.3">
      <c r="A39" s="3" t="s">
        <v>35</v>
      </c>
      <c r="B39" s="3" t="s">
        <v>31</v>
      </c>
      <c r="C39" s="3" t="s">
        <v>132</v>
      </c>
      <c r="D39" s="3">
        <v>0.6</v>
      </c>
    </row>
    <row r="40" spans="1:4" x14ac:dyDescent="0.3">
      <c r="A40" s="3" t="s">
        <v>35</v>
      </c>
      <c r="B40" s="3" t="s">
        <v>44</v>
      </c>
      <c r="C40" s="3" t="s">
        <v>132</v>
      </c>
      <c r="D40" s="3">
        <v>0.6</v>
      </c>
    </row>
    <row r="41" spans="1:4" x14ac:dyDescent="0.3">
      <c r="A41" s="3" t="s">
        <v>35</v>
      </c>
      <c r="B41" s="3" t="s">
        <v>49</v>
      </c>
      <c r="C41" s="3" t="s">
        <v>134</v>
      </c>
      <c r="D41" s="3">
        <v>0</v>
      </c>
    </row>
    <row r="42" spans="1:4" x14ac:dyDescent="0.3">
      <c r="A42" s="3" t="s">
        <v>35</v>
      </c>
      <c r="B42" s="3" t="s">
        <v>35</v>
      </c>
      <c r="C42" s="3" t="s">
        <v>134</v>
      </c>
      <c r="D42" s="3">
        <v>0</v>
      </c>
    </row>
    <row r="43" spans="1:4" x14ac:dyDescent="0.3">
      <c r="A43" s="3" t="s">
        <v>35</v>
      </c>
      <c r="B43" s="3" t="s">
        <v>47</v>
      </c>
      <c r="C43" s="3" t="s">
        <v>134</v>
      </c>
      <c r="D43" s="3">
        <v>0</v>
      </c>
    </row>
    <row r="44" spans="1:4" x14ac:dyDescent="0.3">
      <c r="A44" s="3" t="s">
        <v>47</v>
      </c>
      <c r="B44" s="3" t="s">
        <v>38</v>
      </c>
      <c r="C44" s="3" t="s">
        <v>134</v>
      </c>
      <c r="D44" s="3">
        <v>0</v>
      </c>
    </row>
    <row r="45" spans="1:4" x14ac:dyDescent="0.3">
      <c r="A45" s="3" t="s">
        <v>47</v>
      </c>
      <c r="B45" s="3" t="s">
        <v>45</v>
      </c>
      <c r="C45" s="3" t="s">
        <v>134</v>
      </c>
      <c r="D45" s="3">
        <v>0</v>
      </c>
    </row>
    <row r="46" spans="1:4" x14ac:dyDescent="0.3">
      <c r="A46" s="3" t="s">
        <v>47</v>
      </c>
      <c r="B46" s="3" t="s">
        <v>31</v>
      </c>
      <c r="C46" s="3" t="s">
        <v>134</v>
      </c>
      <c r="D46" s="3">
        <v>0</v>
      </c>
    </row>
    <row r="47" spans="1:4" x14ac:dyDescent="0.3">
      <c r="A47" s="3" t="s">
        <v>47</v>
      </c>
      <c r="B47" s="3" t="s">
        <v>44</v>
      </c>
      <c r="C47" s="3" t="s">
        <v>134</v>
      </c>
      <c r="D47" s="3">
        <v>0</v>
      </c>
    </row>
    <row r="48" spans="1:4" x14ac:dyDescent="0.3">
      <c r="A48" s="3" t="s">
        <v>47</v>
      </c>
      <c r="B48" s="3" t="s">
        <v>49</v>
      </c>
      <c r="C48" s="3" t="s">
        <v>134</v>
      </c>
      <c r="D48" s="3">
        <v>0</v>
      </c>
    </row>
    <row r="49" spans="1:4" x14ac:dyDescent="0.3">
      <c r="A49" s="3" t="s">
        <v>47</v>
      </c>
      <c r="B49" s="3" t="s">
        <v>35</v>
      </c>
      <c r="C49" s="3" t="s">
        <v>134</v>
      </c>
      <c r="D49" s="3">
        <v>0</v>
      </c>
    </row>
    <row r="50" spans="1:4" x14ac:dyDescent="0.3">
      <c r="A50" s="3" t="s">
        <v>47</v>
      </c>
      <c r="B50" s="3" t="s">
        <v>47</v>
      </c>
      <c r="C50" s="3" t="s">
        <v>134</v>
      </c>
      <c r="D50" s="3">
        <v>0</v>
      </c>
    </row>
    <row r="51" spans="1:4" x14ac:dyDescent="0.3">
      <c r="A51" s="24"/>
      <c r="B51" s="25"/>
      <c r="C51" s="25"/>
    </row>
  </sheetData>
  <mergeCells count="1">
    <mergeCell ref="A51:C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DCDE-15D8-4753-911F-B882D69215E7}">
  <sheetPr>
    <tabColor theme="9"/>
  </sheetPr>
  <dimension ref="A1:H111"/>
  <sheetViews>
    <sheetView tabSelected="1" zoomScale="85" zoomScaleNormal="85"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5.33203125" customWidth="1"/>
    <col min="2" max="2" width="27.77734375" customWidth="1"/>
    <col min="3" max="3" width="10.77734375" customWidth="1"/>
    <col min="4" max="8" width="11.6640625" customWidth="1"/>
  </cols>
  <sheetData>
    <row r="1" spans="1:8" x14ac:dyDescent="0.3">
      <c r="A1" s="20" t="s">
        <v>1</v>
      </c>
      <c r="B1" s="20" t="s">
        <v>0</v>
      </c>
      <c r="C1" s="20" t="s">
        <v>3</v>
      </c>
      <c r="D1" s="20" t="s">
        <v>194</v>
      </c>
      <c r="E1" s="20" t="s">
        <v>195</v>
      </c>
      <c r="F1" s="20" t="s">
        <v>196</v>
      </c>
      <c r="G1" s="20" t="s">
        <v>197</v>
      </c>
      <c r="H1" s="20" t="s">
        <v>198</v>
      </c>
    </row>
    <row r="2" spans="1:8" hidden="1" x14ac:dyDescent="0.3">
      <c r="A2" s="2">
        <f t="shared" ref="A2:A33" si="0">ROW(A1)</f>
        <v>1</v>
      </c>
      <c r="B2" s="2" t="s">
        <v>62</v>
      </c>
      <c r="C2" s="2" t="str">
        <f>_xlfn.XLOOKUP(Table1[[#This Row],[Name]],Try_2[Name],Try_2[Element])</f>
        <v>GEO</v>
      </c>
      <c r="D2" s="2" t="s">
        <v>1</v>
      </c>
      <c r="E2" s="2" t="s">
        <v>199</v>
      </c>
      <c r="F2" s="2" t="s">
        <v>199</v>
      </c>
      <c r="G2" s="2" t="s">
        <v>1</v>
      </c>
      <c r="H2" s="2" t="s">
        <v>1</v>
      </c>
    </row>
    <row r="3" spans="1:8" hidden="1" x14ac:dyDescent="0.3">
      <c r="A3" s="2">
        <f t="shared" si="0"/>
        <v>2</v>
      </c>
      <c r="B3" s="2" t="s">
        <v>63</v>
      </c>
      <c r="C3" s="2" t="str">
        <f>_xlfn.XLOOKUP(Table1[[#This Row],[Name]],Try_2[Name],Try_2[Element])</f>
        <v>DENDRO</v>
      </c>
      <c r="D3" s="2" t="s">
        <v>199</v>
      </c>
      <c r="E3" s="2" t="s">
        <v>1</v>
      </c>
      <c r="F3" s="2" t="s">
        <v>199</v>
      </c>
      <c r="G3" s="2" t="s">
        <v>1</v>
      </c>
      <c r="H3" s="2" t="s">
        <v>1</v>
      </c>
    </row>
    <row r="4" spans="1:8" hidden="1" x14ac:dyDescent="0.3">
      <c r="A4" s="2">
        <f t="shared" si="0"/>
        <v>3</v>
      </c>
      <c r="B4" s="2" t="s">
        <v>65</v>
      </c>
      <c r="C4" s="2" t="str">
        <f>_xlfn.XLOOKUP(Table1[[#This Row],[Name]],Try_2[Name],Try_2[Element])</f>
        <v>CRYO</v>
      </c>
      <c r="D4" s="2" t="s">
        <v>199</v>
      </c>
      <c r="E4" s="2" t="s">
        <v>1</v>
      </c>
      <c r="F4" s="2" t="s">
        <v>199</v>
      </c>
      <c r="G4" s="2" t="s">
        <v>1</v>
      </c>
      <c r="H4" s="2" t="s">
        <v>1</v>
      </c>
    </row>
    <row r="5" spans="1:8" hidden="1" x14ac:dyDescent="0.3">
      <c r="A5" s="2">
        <f t="shared" si="0"/>
        <v>4</v>
      </c>
      <c r="B5" s="2" t="s">
        <v>14</v>
      </c>
      <c r="C5" s="2" t="str">
        <f>_xlfn.XLOOKUP(Table1[[#This Row],[Name]],Try_2[Name],Try_2[Element])</f>
        <v>PYRO</v>
      </c>
      <c r="D5" s="2" t="s">
        <v>1</v>
      </c>
      <c r="E5" s="2" t="s">
        <v>199</v>
      </c>
      <c r="F5" s="2" t="s">
        <v>199</v>
      </c>
      <c r="G5" s="2" t="s">
        <v>1</v>
      </c>
      <c r="H5" s="2" t="s">
        <v>1</v>
      </c>
    </row>
    <row r="6" spans="1:8" hidden="1" x14ac:dyDescent="0.3">
      <c r="A6" s="2">
        <f t="shared" si="0"/>
        <v>5</v>
      </c>
      <c r="B6" s="2" t="s">
        <v>67</v>
      </c>
      <c r="C6" s="2" t="str">
        <f>_xlfn.XLOOKUP(Table1[[#This Row],[Name]],Try_2[Name],Try_2[Element])</f>
        <v>GEO</v>
      </c>
      <c r="D6" s="2" t="s">
        <v>199</v>
      </c>
      <c r="E6" s="2" t="s">
        <v>1</v>
      </c>
      <c r="F6" s="2" t="s">
        <v>199</v>
      </c>
      <c r="G6" s="2" t="s">
        <v>1</v>
      </c>
      <c r="H6" s="2" t="s">
        <v>1</v>
      </c>
    </row>
    <row r="7" spans="1:8" hidden="1" x14ac:dyDescent="0.3">
      <c r="A7" s="2">
        <f t="shared" si="0"/>
        <v>6</v>
      </c>
      <c r="B7" s="2" t="s">
        <v>68</v>
      </c>
      <c r="C7" s="2" t="str">
        <f>_xlfn.XLOOKUP(Table1[[#This Row],[Name]],Try_2[Name],Try_2[Element])</f>
        <v>PYRO</v>
      </c>
      <c r="D7" s="2" t="s">
        <v>199</v>
      </c>
      <c r="E7" s="2" t="s">
        <v>1</v>
      </c>
      <c r="F7" s="2" t="s">
        <v>199</v>
      </c>
      <c r="G7" s="2" t="s">
        <v>1</v>
      </c>
      <c r="H7" s="2" t="s">
        <v>1</v>
      </c>
    </row>
    <row r="8" spans="1:8" hidden="1" x14ac:dyDescent="0.3">
      <c r="A8" s="2">
        <f t="shared" si="0"/>
        <v>7</v>
      </c>
      <c r="B8" s="2" t="s">
        <v>148</v>
      </c>
      <c r="C8" s="2" t="str">
        <f>_xlfn.XLOOKUP(Table1[[#This Row],[Name]],Try_2[Name],Try_2[Element])</f>
        <v>HYDRO</v>
      </c>
      <c r="D8" s="2" t="s">
        <v>1</v>
      </c>
      <c r="E8" s="2" t="s">
        <v>199</v>
      </c>
      <c r="F8" s="2" t="s">
        <v>1</v>
      </c>
      <c r="G8" s="2" t="s">
        <v>199</v>
      </c>
      <c r="H8" s="2" t="s">
        <v>1</v>
      </c>
    </row>
    <row r="9" spans="1:8" x14ac:dyDescent="0.3">
      <c r="A9" s="2">
        <f t="shared" si="0"/>
        <v>8</v>
      </c>
      <c r="B9" s="2" t="s">
        <v>69</v>
      </c>
      <c r="C9" s="2" t="str">
        <f>_xlfn.XLOOKUP(Table1[[#This Row],[Name]],Try_2[Name],Try_2[Element])</f>
        <v>DENDRO</v>
      </c>
      <c r="D9" s="2" t="s">
        <v>1</v>
      </c>
      <c r="E9" s="2" t="s">
        <v>199</v>
      </c>
      <c r="F9" s="2" t="s">
        <v>1</v>
      </c>
      <c r="G9" s="2" t="s">
        <v>199</v>
      </c>
      <c r="H9" s="2" t="s">
        <v>199</v>
      </c>
    </row>
    <row r="10" spans="1:8" x14ac:dyDescent="0.3">
      <c r="A10" s="2">
        <f t="shared" si="0"/>
        <v>9</v>
      </c>
      <c r="B10" s="2" t="s">
        <v>102</v>
      </c>
      <c r="C10" s="2" t="str">
        <f>_xlfn.XLOOKUP(Table1[[#This Row],[Name]],Try_2[Name],Try_2[Element])</f>
        <v>HYDRO</v>
      </c>
      <c r="D10" s="2" t="s">
        <v>1</v>
      </c>
      <c r="E10" s="2" t="s">
        <v>199</v>
      </c>
      <c r="F10" s="2" t="s">
        <v>1</v>
      </c>
      <c r="G10" s="2" t="s">
        <v>1</v>
      </c>
      <c r="H10" s="2" t="s">
        <v>199</v>
      </c>
    </row>
    <row r="11" spans="1:8" hidden="1" x14ac:dyDescent="0.3">
      <c r="A11" s="2">
        <f t="shared" si="0"/>
        <v>10</v>
      </c>
      <c r="B11" s="2" t="s">
        <v>70</v>
      </c>
      <c r="C11" s="2" t="str">
        <f>_xlfn.XLOOKUP(Table1[[#This Row],[Name]],Try_2[Name],Try_2[Element])</f>
        <v>ELECTRO</v>
      </c>
      <c r="D11" s="2" t="s">
        <v>1</v>
      </c>
      <c r="E11" s="2" t="s">
        <v>199</v>
      </c>
      <c r="F11" s="2" t="s">
        <v>199</v>
      </c>
      <c r="G11" s="2" t="s">
        <v>1</v>
      </c>
      <c r="H11" s="2" t="s">
        <v>199</v>
      </c>
    </row>
    <row r="12" spans="1:8" x14ac:dyDescent="0.3">
      <c r="A12" s="2">
        <f t="shared" si="0"/>
        <v>11</v>
      </c>
      <c r="B12" s="2" t="s">
        <v>71</v>
      </c>
      <c r="C12" s="2" t="str">
        <f>_xlfn.XLOOKUP(Table1[[#This Row],[Name]],Try_2[Name],Try_2[Element])</f>
        <v>PYRO</v>
      </c>
      <c r="D12" s="2" t="s">
        <v>1</v>
      </c>
      <c r="E12" s="2" t="s">
        <v>199</v>
      </c>
      <c r="F12" s="2" t="s">
        <v>1</v>
      </c>
      <c r="G12" s="2" t="s">
        <v>199</v>
      </c>
      <c r="H12" s="2" t="s">
        <v>199</v>
      </c>
    </row>
    <row r="13" spans="1:8" hidden="1" x14ac:dyDescent="0.3">
      <c r="A13" s="2">
        <f t="shared" si="0"/>
        <v>12</v>
      </c>
      <c r="B13" s="2" t="s">
        <v>72</v>
      </c>
      <c r="C13" s="2" t="str">
        <f>_xlfn.XLOOKUP(Table1[[#This Row],[Name]],Try_2[Name],Try_2[Element])</f>
        <v>HYDRO</v>
      </c>
      <c r="D13" s="2" t="s">
        <v>1</v>
      </c>
      <c r="E13" s="2" t="s">
        <v>199</v>
      </c>
      <c r="F13" s="2" t="s">
        <v>1</v>
      </c>
      <c r="G13" s="2" t="s">
        <v>199</v>
      </c>
      <c r="H13" s="2" t="s">
        <v>1</v>
      </c>
    </row>
    <row r="14" spans="1:8" x14ac:dyDescent="0.3">
      <c r="A14" s="2">
        <f t="shared" si="0"/>
        <v>13</v>
      </c>
      <c r="B14" s="2" t="s">
        <v>73</v>
      </c>
      <c r="C14" s="2" t="str">
        <f>_xlfn.XLOOKUP(Table1[[#This Row],[Name]],Try_2[Name],Try_2[Element])</f>
        <v>CRYO</v>
      </c>
      <c r="D14" s="2" t="s">
        <v>1</v>
      </c>
      <c r="E14" s="2" t="s">
        <v>199</v>
      </c>
      <c r="F14" s="2" t="s">
        <v>1</v>
      </c>
      <c r="G14" s="2" t="s">
        <v>1</v>
      </c>
      <c r="H14" s="2" t="s">
        <v>199</v>
      </c>
    </row>
    <row r="15" spans="1:8" hidden="1" x14ac:dyDescent="0.3">
      <c r="A15" s="2">
        <f t="shared" si="0"/>
        <v>14</v>
      </c>
      <c r="B15" s="2" t="s">
        <v>74</v>
      </c>
      <c r="C15" s="2" t="str">
        <f>_xlfn.XLOOKUP(Table1[[#This Row],[Name]],Try_2[Name],Try_2[Element])</f>
        <v>ANEMO</v>
      </c>
      <c r="D15" s="2" t="s">
        <v>199</v>
      </c>
      <c r="E15" s="2" t="s">
        <v>1</v>
      </c>
      <c r="F15" s="2" t="s">
        <v>199</v>
      </c>
      <c r="G15" s="2" t="s">
        <v>1</v>
      </c>
      <c r="H15" s="2" t="s">
        <v>1</v>
      </c>
    </row>
    <row r="16" spans="1:8" x14ac:dyDescent="0.3">
      <c r="A16" s="2">
        <f t="shared" si="0"/>
        <v>15</v>
      </c>
      <c r="B16" s="2" t="s">
        <v>75</v>
      </c>
      <c r="C16" s="2" t="str">
        <f>_xlfn.XLOOKUP(Table1[[#This Row],[Name]],Try_2[Name],Try_2[Element])</f>
        <v>PYRO</v>
      </c>
      <c r="D16" s="2" t="s">
        <v>1</v>
      </c>
      <c r="E16" s="2" t="s">
        <v>199</v>
      </c>
      <c r="F16" s="2" t="s">
        <v>1</v>
      </c>
      <c r="G16" s="2" t="s">
        <v>199</v>
      </c>
      <c r="H16" s="2" t="s">
        <v>199</v>
      </c>
    </row>
    <row r="17" spans="1:8" hidden="1" x14ac:dyDescent="0.3">
      <c r="A17" s="2">
        <f t="shared" si="0"/>
        <v>16</v>
      </c>
      <c r="B17" s="2" t="s">
        <v>76</v>
      </c>
      <c r="C17" s="2" t="str">
        <f>_xlfn.XLOOKUP(Table1[[#This Row],[Name]],Try_2[Name],Try_2[Element])</f>
        <v>GEO</v>
      </c>
      <c r="D17" s="2" t="s">
        <v>1</v>
      </c>
      <c r="E17" s="2" t="s">
        <v>199</v>
      </c>
      <c r="F17" s="2" t="s">
        <v>199</v>
      </c>
      <c r="G17" s="2" t="s">
        <v>1</v>
      </c>
      <c r="H17" s="2" t="s">
        <v>1</v>
      </c>
    </row>
    <row r="18" spans="1:8" hidden="1" x14ac:dyDescent="0.3">
      <c r="A18" s="2">
        <f t="shared" si="0"/>
        <v>17</v>
      </c>
      <c r="B18" s="2" t="s">
        <v>77</v>
      </c>
      <c r="C18" s="2" t="str">
        <f>_xlfn.XLOOKUP(Table1[[#This Row],[Name]],Try_2[Name],Try_2[Element])</f>
        <v>CRYO</v>
      </c>
      <c r="D18" s="2" t="s">
        <v>1</v>
      </c>
      <c r="E18" s="2" t="s">
        <v>199</v>
      </c>
      <c r="F18" s="2" t="s">
        <v>199</v>
      </c>
      <c r="G18" s="2" t="s">
        <v>199</v>
      </c>
      <c r="H18" s="2" t="s">
        <v>1</v>
      </c>
    </row>
    <row r="19" spans="1:8" x14ac:dyDescent="0.3">
      <c r="A19" s="2">
        <f t="shared" si="0"/>
        <v>18</v>
      </c>
      <c r="B19" s="2" t="s">
        <v>78</v>
      </c>
      <c r="C19" s="2" t="str">
        <f>_xlfn.XLOOKUP(Table1[[#This Row],[Name]],Try_2[Name],Try_2[Element])</f>
        <v>CRYO</v>
      </c>
      <c r="D19" s="2" t="s">
        <v>1</v>
      </c>
      <c r="E19" s="2" t="s">
        <v>199</v>
      </c>
      <c r="F19" s="2" t="s">
        <v>1</v>
      </c>
      <c r="G19" s="2" t="s">
        <v>199</v>
      </c>
      <c r="H19" s="2" t="s">
        <v>199</v>
      </c>
    </row>
    <row r="20" spans="1:8" hidden="1" x14ac:dyDescent="0.3">
      <c r="A20" s="2">
        <f t="shared" si="0"/>
        <v>19</v>
      </c>
      <c r="B20" s="2" t="s">
        <v>79</v>
      </c>
      <c r="C20" s="2" t="str">
        <f>_xlfn.XLOOKUP(Table1[[#This Row],[Name]],Try_2[Name],Try_2[Element])</f>
        <v>ELECTRO</v>
      </c>
      <c r="D20" s="2" t="s">
        <v>199</v>
      </c>
      <c r="E20" s="2" t="s">
        <v>1</v>
      </c>
      <c r="F20" s="2" t="s">
        <v>199</v>
      </c>
      <c r="G20" s="2" t="s">
        <v>1</v>
      </c>
      <c r="H20" s="2" t="s">
        <v>1</v>
      </c>
    </row>
    <row r="21" spans="1:8" hidden="1" x14ac:dyDescent="0.3">
      <c r="A21" s="2">
        <f t="shared" si="0"/>
        <v>20</v>
      </c>
      <c r="B21" s="2" t="s">
        <v>80</v>
      </c>
      <c r="C21" s="2" t="str">
        <f>_xlfn.XLOOKUP(Table1[[#This Row],[Name]],Try_2[Name],Try_2[Element])</f>
        <v>DENDRO</v>
      </c>
      <c r="D21" s="2" t="s">
        <v>1</v>
      </c>
      <c r="E21" s="2" t="s">
        <v>199</v>
      </c>
      <c r="F21" s="2" t="s">
        <v>199</v>
      </c>
      <c r="G21" s="2" t="s">
        <v>1</v>
      </c>
      <c r="H21" s="2" t="s">
        <v>1</v>
      </c>
    </row>
    <row r="22" spans="1:8" hidden="1" x14ac:dyDescent="0.3">
      <c r="A22" s="2">
        <f t="shared" si="0"/>
        <v>21</v>
      </c>
      <c r="B22" s="2" t="s">
        <v>81</v>
      </c>
      <c r="C22" s="2" t="str">
        <f>_xlfn.XLOOKUP(Table1[[#This Row],[Name]],Try_2[Name],Try_2[Element])</f>
        <v>ELECTRO</v>
      </c>
      <c r="D22" s="2" t="s">
        <v>199</v>
      </c>
      <c r="E22" s="2" t="s">
        <v>1</v>
      </c>
      <c r="F22" s="2" t="s">
        <v>199</v>
      </c>
      <c r="G22" s="2" t="s">
        <v>1</v>
      </c>
      <c r="H22" s="2" t="s">
        <v>1</v>
      </c>
    </row>
    <row r="23" spans="1:8" hidden="1" x14ac:dyDescent="0.3">
      <c r="A23" s="2">
        <f t="shared" si="0"/>
        <v>22</v>
      </c>
      <c r="B23" s="2" t="s">
        <v>82</v>
      </c>
      <c r="C23" s="2" t="str">
        <f>_xlfn.XLOOKUP(Table1[[#This Row],[Name]],Try_2[Name],Try_2[Element])</f>
        <v>PYRO</v>
      </c>
      <c r="D23" s="2" t="s">
        <v>1</v>
      </c>
      <c r="E23" s="2" t="s">
        <v>199</v>
      </c>
      <c r="F23" s="2" t="s">
        <v>199</v>
      </c>
      <c r="G23" s="2" t="s">
        <v>1</v>
      </c>
      <c r="H23" s="2" t="s">
        <v>199</v>
      </c>
    </row>
    <row r="24" spans="1:8" hidden="1" x14ac:dyDescent="0.3">
      <c r="A24" s="2">
        <f t="shared" si="0"/>
        <v>23</v>
      </c>
      <c r="B24" s="2" t="s">
        <v>83</v>
      </c>
      <c r="C24" s="2" t="str">
        <f>_xlfn.XLOOKUP(Table1[[#This Row],[Name]],Try_2[Name],Try_2[Element])</f>
        <v>PYRO</v>
      </c>
      <c r="D24" s="2" t="s">
        <v>199</v>
      </c>
      <c r="E24" s="2" t="s">
        <v>1</v>
      </c>
      <c r="F24" s="2" t="s">
        <v>199</v>
      </c>
      <c r="G24" s="2" t="s">
        <v>1</v>
      </c>
      <c r="H24" s="2" t="s">
        <v>1</v>
      </c>
    </row>
    <row r="25" spans="1:8" x14ac:dyDescent="0.3">
      <c r="A25" s="2">
        <f t="shared" si="0"/>
        <v>24</v>
      </c>
      <c r="B25" s="2" t="s">
        <v>84</v>
      </c>
      <c r="C25" s="2" t="str">
        <f>_xlfn.XLOOKUP(Table1[[#This Row],[Name]],Try_2[Name],Try_2[Element])</f>
        <v>CRYO</v>
      </c>
      <c r="D25" s="2" t="s">
        <v>1</v>
      </c>
      <c r="E25" s="2" t="s">
        <v>199</v>
      </c>
      <c r="F25" s="2" t="s">
        <v>1</v>
      </c>
      <c r="G25" s="2" t="s">
        <v>1</v>
      </c>
      <c r="H25" s="2" t="s">
        <v>199</v>
      </c>
    </row>
    <row r="26" spans="1:8" x14ac:dyDescent="0.3">
      <c r="A26" s="2">
        <f t="shared" si="0"/>
        <v>25</v>
      </c>
      <c r="B26" s="2" t="s">
        <v>85</v>
      </c>
      <c r="C26" s="2" t="str">
        <f>_xlfn.XLOOKUP(Table1[[#This Row],[Name]],Try_2[Name],Try_2[Element])</f>
        <v>ELECTRO</v>
      </c>
      <c r="D26" s="2" t="s">
        <v>1</v>
      </c>
      <c r="E26" s="2" t="s">
        <v>199</v>
      </c>
      <c r="F26" s="2" t="s">
        <v>1</v>
      </c>
      <c r="G26" s="2" t="s">
        <v>1</v>
      </c>
      <c r="H26" s="2" t="s">
        <v>199</v>
      </c>
    </row>
    <row r="27" spans="1:8" hidden="1" x14ac:dyDescent="0.3">
      <c r="A27" s="2">
        <f t="shared" si="0"/>
        <v>26</v>
      </c>
      <c r="B27" s="2" t="s">
        <v>86</v>
      </c>
      <c r="C27" s="2" t="str">
        <f>_xlfn.XLOOKUP(Table1[[#This Row],[Name]],Try_2[Name],Try_2[Element])</f>
        <v>DENDRO</v>
      </c>
      <c r="D27" s="2" t="s">
        <v>1</v>
      </c>
      <c r="E27" s="2" t="s">
        <v>199</v>
      </c>
      <c r="F27" s="2" t="s">
        <v>199</v>
      </c>
      <c r="G27" s="2" t="s">
        <v>1</v>
      </c>
      <c r="H27" s="2" t="s">
        <v>1</v>
      </c>
    </row>
    <row r="28" spans="1:8" hidden="1" x14ac:dyDescent="0.3">
      <c r="A28" s="2">
        <f t="shared" si="0"/>
        <v>27</v>
      </c>
      <c r="B28" s="2" t="s">
        <v>114</v>
      </c>
      <c r="C28" s="2" t="str">
        <f>_xlfn.XLOOKUP(Table1[[#This Row],[Name]],Try_2[Name],Try_2[Element])</f>
        <v>CRYO</v>
      </c>
      <c r="D28" s="2" t="s">
        <v>199</v>
      </c>
      <c r="E28" s="2" t="s">
        <v>1</v>
      </c>
      <c r="F28" s="2" t="s">
        <v>199</v>
      </c>
      <c r="G28" s="2" t="s">
        <v>1</v>
      </c>
      <c r="H28" s="2" t="s">
        <v>1</v>
      </c>
    </row>
    <row r="29" spans="1:8" hidden="1" x14ac:dyDescent="0.3">
      <c r="A29" s="2">
        <f t="shared" si="0"/>
        <v>28</v>
      </c>
      <c r="B29" s="2" t="s">
        <v>118</v>
      </c>
      <c r="C29" s="2" t="str">
        <f>_xlfn.XLOOKUP(Table1[[#This Row],[Name]],Try_2[Name],Try_2[Element])</f>
        <v>ELECTRO</v>
      </c>
      <c r="D29" s="2" t="s">
        <v>1</v>
      </c>
      <c r="E29" s="2" t="s">
        <v>199</v>
      </c>
      <c r="F29" s="2" t="s">
        <v>199</v>
      </c>
      <c r="G29" s="2" t="s">
        <v>1</v>
      </c>
      <c r="H29" s="2" t="s">
        <v>1</v>
      </c>
    </row>
    <row r="30" spans="1:8" hidden="1" x14ac:dyDescent="0.3">
      <c r="A30" s="2">
        <f t="shared" si="0"/>
        <v>29</v>
      </c>
      <c r="B30" s="2" t="s">
        <v>88</v>
      </c>
      <c r="C30" s="2" t="str">
        <f>_xlfn.XLOOKUP(Table1[[#This Row],[Name]],Try_2[Name],Try_2[Element])</f>
        <v>CRYO</v>
      </c>
      <c r="D30" s="2" t="s">
        <v>199</v>
      </c>
      <c r="E30" s="2" t="s">
        <v>1</v>
      </c>
      <c r="F30" s="2" t="s">
        <v>199</v>
      </c>
      <c r="G30" s="2" t="s">
        <v>1</v>
      </c>
      <c r="H30" s="2" t="s">
        <v>1</v>
      </c>
    </row>
    <row r="31" spans="1:8" hidden="1" x14ac:dyDescent="0.3">
      <c r="A31" s="2">
        <f t="shared" si="0"/>
        <v>30</v>
      </c>
      <c r="B31" s="2" t="s">
        <v>89</v>
      </c>
      <c r="C31" s="2" t="str">
        <f>_xlfn.XLOOKUP(Table1[[#This Row],[Name]],Try_2[Name],Try_2[Element])</f>
        <v>HYDRO</v>
      </c>
      <c r="D31" s="2" t="s">
        <v>1</v>
      </c>
      <c r="E31" s="2" t="s">
        <v>199</v>
      </c>
      <c r="F31" s="2" t="s">
        <v>199</v>
      </c>
      <c r="G31" s="2" t="s">
        <v>199</v>
      </c>
      <c r="H31" s="2" t="s">
        <v>199</v>
      </c>
    </row>
    <row r="32" spans="1:8" hidden="1" x14ac:dyDescent="0.3">
      <c r="A32" s="2">
        <f t="shared" si="0"/>
        <v>31</v>
      </c>
      <c r="B32" s="2" t="s">
        <v>90</v>
      </c>
      <c r="C32" s="2" t="str">
        <f>_xlfn.XLOOKUP(Table1[[#This Row],[Name]],Try_2[Name],Try_2[Element])</f>
        <v>PYRO</v>
      </c>
      <c r="D32" s="2" t="s">
        <v>199</v>
      </c>
      <c r="E32" s="2" t="s">
        <v>1</v>
      </c>
      <c r="F32" s="2" t="s">
        <v>199</v>
      </c>
      <c r="G32" s="2" t="s">
        <v>1</v>
      </c>
      <c r="H32" s="2" t="s">
        <v>1</v>
      </c>
    </row>
    <row r="33" spans="1:8" hidden="1" x14ac:dyDescent="0.3">
      <c r="A33" s="2">
        <f t="shared" si="0"/>
        <v>32</v>
      </c>
      <c r="B33" s="2" t="s">
        <v>17</v>
      </c>
      <c r="C33" s="2" t="str">
        <f>_xlfn.XLOOKUP(Table1[[#This Row],[Name]],Try_2[Name],Try_2[Element])</f>
        <v>CRYO</v>
      </c>
      <c r="D33" s="2" t="s">
        <v>199</v>
      </c>
      <c r="E33" s="2" t="s">
        <v>1</v>
      </c>
      <c r="F33" s="2" t="s">
        <v>199</v>
      </c>
      <c r="G33" s="2" t="s">
        <v>1</v>
      </c>
      <c r="H33" s="2" t="s">
        <v>1</v>
      </c>
    </row>
    <row r="34" spans="1:8" hidden="1" x14ac:dyDescent="0.3">
      <c r="A34" s="2">
        <f t="shared" ref="A34:A65" si="1">ROW(A33)</f>
        <v>33</v>
      </c>
      <c r="B34" s="2" t="s">
        <v>91</v>
      </c>
      <c r="C34" s="2" t="str">
        <f>_xlfn.XLOOKUP(Table1[[#This Row],[Name]],Try_2[Name],Try_2[Element])</f>
        <v>GEO</v>
      </c>
      <c r="D34" s="2" t="s">
        <v>1</v>
      </c>
      <c r="E34" s="2" t="s">
        <v>199</v>
      </c>
      <c r="F34" s="2" t="s">
        <v>1</v>
      </c>
      <c r="G34" s="2" t="s">
        <v>199</v>
      </c>
      <c r="H34" s="2" t="s">
        <v>1</v>
      </c>
    </row>
    <row r="35" spans="1:8" hidden="1" x14ac:dyDescent="0.3">
      <c r="A35" s="2">
        <f t="shared" si="1"/>
        <v>34</v>
      </c>
      <c r="B35" s="2" t="s">
        <v>92</v>
      </c>
      <c r="C35" s="2" t="str">
        <f>_xlfn.XLOOKUP(Table1[[#This Row],[Name]],Try_2[Name],Try_2[Element])</f>
        <v>PYRO</v>
      </c>
      <c r="D35" s="2" t="s">
        <v>199</v>
      </c>
      <c r="E35" s="2" t="s">
        <v>1</v>
      </c>
      <c r="F35" s="2" t="s">
        <v>199</v>
      </c>
      <c r="G35" s="2" t="s">
        <v>1</v>
      </c>
      <c r="H35" s="2" t="s">
        <v>1</v>
      </c>
    </row>
    <row r="36" spans="1:8" x14ac:dyDescent="0.3">
      <c r="A36" s="2">
        <f t="shared" si="1"/>
        <v>35</v>
      </c>
      <c r="B36" s="2" t="s">
        <v>93</v>
      </c>
      <c r="C36" s="2" t="str">
        <f>_xlfn.XLOOKUP(Table1[[#This Row],[Name]],Try_2[Name],Try_2[Element])</f>
        <v>ANEMO</v>
      </c>
      <c r="D36" s="2" t="s">
        <v>1</v>
      </c>
      <c r="E36" s="2" t="s">
        <v>199</v>
      </c>
      <c r="F36" s="2" t="s">
        <v>1</v>
      </c>
      <c r="G36" s="2" t="s">
        <v>1</v>
      </c>
      <c r="H36" s="2" t="s">
        <v>199</v>
      </c>
    </row>
    <row r="37" spans="1:8" hidden="1" x14ac:dyDescent="0.3">
      <c r="A37" s="2">
        <f t="shared" si="1"/>
        <v>36</v>
      </c>
      <c r="B37" s="2" t="s">
        <v>94</v>
      </c>
      <c r="C37" s="2" t="str">
        <f>_xlfn.XLOOKUP(Table1[[#This Row],[Name]],Try_2[Name],Try_2[Element])</f>
        <v>GEO</v>
      </c>
      <c r="D37" s="2" t="s">
        <v>1</v>
      </c>
      <c r="E37" s="2" t="s">
        <v>199</v>
      </c>
      <c r="F37" s="2" t="s">
        <v>199</v>
      </c>
      <c r="G37" s="2" t="s">
        <v>1</v>
      </c>
      <c r="H37" s="2" t="s">
        <v>1</v>
      </c>
    </row>
    <row r="38" spans="1:8" hidden="1" x14ac:dyDescent="0.3">
      <c r="A38" s="2">
        <f t="shared" si="1"/>
        <v>37</v>
      </c>
      <c r="B38" s="2" t="s">
        <v>95</v>
      </c>
      <c r="C38" s="2" t="str">
        <f>_xlfn.XLOOKUP(Table1[[#This Row],[Name]],Try_2[Name],Try_2[Element])</f>
        <v>ANEMO</v>
      </c>
      <c r="D38" s="2" t="s">
        <v>1</v>
      </c>
      <c r="E38" s="2" t="s">
        <v>199</v>
      </c>
      <c r="F38" s="2" t="s">
        <v>1</v>
      </c>
      <c r="G38" s="2" t="s">
        <v>199</v>
      </c>
      <c r="H38" s="2" t="s">
        <v>1</v>
      </c>
    </row>
    <row r="39" spans="1:8" hidden="1" x14ac:dyDescent="0.3">
      <c r="A39" s="2">
        <f t="shared" si="1"/>
        <v>38</v>
      </c>
      <c r="B39" s="2" t="s">
        <v>96</v>
      </c>
      <c r="C39" s="2" t="str">
        <f>_xlfn.XLOOKUP(Table1[[#This Row],[Name]],Try_2[Name],Try_2[Element])</f>
        <v>CRYO</v>
      </c>
      <c r="D39" s="2" t="s">
        <v>1</v>
      </c>
      <c r="E39" s="2" t="s">
        <v>199</v>
      </c>
      <c r="F39" s="2" t="s">
        <v>199</v>
      </c>
      <c r="G39" s="2" t="s">
        <v>1</v>
      </c>
      <c r="H39" s="2" t="s">
        <v>1</v>
      </c>
    </row>
    <row r="40" spans="1:8" hidden="1" x14ac:dyDescent="0.3">
      <c r="A40" s="2">
        <f t="shared" si="1"/>
        <v>39</v>
      </c>
      <c r="B40" s="2" t="s">
        <v>11</v>
      </c>
      <c r="C40" s="2" t="str">
        <f>_xlfn.XLOOKUP(Table1[[#This Row],[Name]],Try_2[Name],Try_2[Element])</f>
        <v>CRYO</v>
      </c>
      <c r="D40" s="2" t="s">
        <v>199</v>
      </c>
      <c r="E40" s="2" t="s">
        <v>1</v>
      </c>
      <c r="F40" s="2" t="s">
        <v>199</v>
      </c>
      <c r="G40" s="2" t="s">
        <v>1</v>
      </c>
      <c r="H40" s="2" t="s">
        <v>1</v>
      </c>
    </row>
    <row r="41" spans="1:8" hidden="1" x14ac:dyDescent="0.3">
      <c r="A41" s="2">
        <f t="shared" si="1"/>
        <v>40</v>
      </c>
      <c r="B41" s="2" t="s">
        <v>15</v>
      </c>
      <c r="C41" s="2" t="str">
        <f>_xlfn.XLOOKUP(Table1[[#This Row],[Name]],Try_2[Name],Try_2[Element])</f>
        <v>HYDRO</v>
      </c>
      <c r="D41" s="2" t="s">
        <v>199</v>
      </c>
      <c r="E41" s="2" t="s">
        <v>1</v>
      </c>
      <c r="F41" s="2" t="s">
        <v>199</v>
      </c>
      <c r="G41" s="2" t="s">
        <v>1</v>
      </c>
      <c r="H41" s="2" t="s">
        <v>1</v>
      </c>
    </row>
    <row r="42" spans="1:8" hidden="1" x14ac:dyDescent="0.3">
      <c r="A42" s="2">
        <f t="shared" si="1"/>
        <v>41</v>
      </c>
      <c r="B42" s="2" t="s">
        <v>122</v>
      </c>
      <c r="C42" s="2" t="str">
        <f>_xlfn.XLOOKUP(Table1[[#This Row],[Name]],Try_2[Name],Try_2[Element])</f>
        <v>DENDRO</v>
      </c>
      <c r="D42" s="2" t="s">
        <v>199</v>
      </c>
      <c r="E42" s="2" t="s">
        <v>1</v>
      </c>
      <c r="F42" s="2" t="s">
        <v>199</v>
      </c>
      <c r="G42" s="2" t="s">
        <v>1</v>
      </c>
      <c r="H42" s="2" t="s">
        <v>1</v>
      </c>
    </row>
    <row r="43" spans="1:8" hidden="1" x14ac:dyDescent="0.3">
      <c r="A43" s="2">
        <f t="shared" si="1"/>
        <v>42</v>
      </c>
      <c r="B43" s="2" t="s">
        <v>8</v>
      </c>
      <c r="C43" s="2" t="str">
        <f>_xlfn.XLOOKUP(Table1[[#This Row],[Name]],Try_2[Name],Try_2[Element])</f>
        <v>ELECTRO</v>
      </c>
      <c r="D43" s="2" t="s">
        <v>199</v>
      </c>
      <c r="E43" s="2" t="s">
        <v>1</v>
      </c>
      <c r="F43" s="2" t="s">
        <v>199</v>
      </c>
      <c r="G43" s="2" t="s">
        <v>1</v>
      </c>
      <c r="H43" s="2" t="s">
        <v>1</v>
      </c>
    </row>
    <row r="44" spans="1:8" hidden="1" x14ac:dyDescent="0.3">
      <c r="A44" s="2">
        <f t="shared" si="1"/>
        <v>43</v>
      </c>
      <c r="B44" s="2" t="s">
        <v>123</v>
      </c>
      <c r="C44" s="2" t="str">
        <f>_xlfn.XLOOKUP(Table1[[#This Row],[Name]],Try_2[Name],Try_2[Element])</f>
        <v>DENDRO</v>
      </c>
      <c r="D44" s="2" t="s">
        <v>199</v>
      </c>
      <c r="E44" s="2" t="s">
        <v>1</v>
      </c>
      <c r="F44" s="2" t="s">
        <v>199</v>
      </c>
      <c r="G44" s="2" t="s">
        <v>1</v>
      </c>
      <c r="H44" s="2" t="s">
        <v>1</v>
      </c>
    </row>
    <row r="45" spans="1:8" x14ac:dyDescent="0.3">
      <c r="A45" s="2">
        <f t="shared" si="1"/>
        <v>44</v>
      </c>
      <c r="B45" s="2" t="s">
        <v>124</v>
      </c>
      <c r="C45" s="2" t="str">
        <f>_xlfn.XLOOKUP(Table1[[#This Row],[Name]],Try_2[Name],Try_2[Element])</f>
        <v>DENDRO</v>
      </c>
      <c r="D45" s="2" t="s">
        <v>1</v>
      </c>
      <c r="E45" s="2" t="s">
        <v>199</v>
      </c>
      <c r="F45" s="2" t="s">
        <v>1</v>
      </c>
      <c r="G45" s="2" t="s">
        <v>1</v>
      </c>
      <c r="H45" s="2" t="s">
        <v>199</v>
      </c>
    </row>
    <row r="46" spans="1:8" hidden="1" x14ac:dyDescent="0.3">
      <c r="A46" s="2">
        <f t="shared" si="1"/>
        <v>45</v>
      </c>
      <c r="B46" s="2" t="s">
        <v>126</v>
      </c>
      <c r="C46" s="2" t="str">
        <f>_xlfn.XLOOKUP(Table1[[#This Row],[Name]],Try_2[Name],Try_2[Element])</f>
        <v>PYRO</v>
      </c>
      <c r="D46" s="2" t="s">
        <v>199</v>
      </c>
      <c r="E46" s="2" t="s">
        <v>1</v>
      </c>
      <c r="F46" s="2" t="s">
        <v>199</v>
      </c>
      <c r="G46" s="2" t="s">
        <v>1</v>
      </c>
      <c r="H46" s="2" t="s">
        <v>1</v>
      </c>
    </row>
    <row r="47" spans="1:8" hidden="1" x14ac:dyDescent="0.3">
      <c r="A47" s="2">
        <f t="shared" si="1"/>
        <v>46</v>
      </c>
      <c r="B47" s="2" t="s">
        <v>140</v>
      </c>
      <c r="C47" s="2" t="str">
        <f>_xlfn.XLOOKUP(Table1[[#This Row],[Name]],Try_2[Name],Try_2[Element])</f>
        <v>ELECTRO</v>
      </c>
      <c r="D47" s="2" t="s">
        <v>1</v>
      </c>
      <c r="E47" s="2" t="s">
        <v>199</v>
      </c>
      <c r="F47" s="2" t="s">
        <v>1</v>
      </c>
      <c r="G47" s="2" t="s">
        <v>199</v>
      </c>
      <c r="H47" s="2" t="s">
        <v>1</v>
      </c>
    </row>
    <row r="48" spans="1:8" x14ac:dyDescent="0.3">
      <c r="A48" s="2">
        <f t="shared" si="1"/>
        <v>47</v>
      </c>
      <c r="B48" s="2" t="s">
        <v>200</v>
      </c>
      <c r="C48" s="2" t="str">
        <f>_xlfn.XLOOKUP(Table1[[#This Row],[Name]],Try_2[Name],Try_2[Element])</f>
        <v>ELECTRO</v>
      </c>
      <c r="D48" s="2" t="s">
        <v>1</v>
      </c>
      <c r="E48" s="2" t="s">
        <v>199</v>
      </c>
      <c r="F48" s="2" t="s">
        <v>1</v>
      </c>
      <c r="G48" s="2" t="s">
        <v>199</v>
      </c>
      <c r="H48" s="2" t="s">
        <v>199</v>
      </c>
    </row>
    <row r="49" spans="1:8" hidden="1" x14ac:dyDescent="0.3">
      <c r="A49" s="2">
        <f t="shared" si="1"/>
        <v>48</v>
      </c>
      <c r="B49" s="2" t="s">
        <v>9</v>
      </c>
      <c r="C49" s="2" t="str">
        <f>_xlfn.XLOOKUP(Table1[[#This Row],[Name]],Try_2[Name],Try_2[Element])</f>
        <v>ANEMO</v>
      </c>
      <c r="D49" s="2" t="s">
        <v>1</v>
      </c>
      <c r="E49" s="2" t="s">
        <v>199</v>
      </c>
      <c r="F49" s="2" t="s">
        <v>199</v>
      </c>
      <c r="G49" s="2" t="s">
        <v>1</v>
      </c>
      <c r="H49" s="2" t="s">
        <v>199</v>
      </c>
    </row>
    <row r="50" spans="1:8" x14ac:dyDescent="0.3">
      <c r="A50" s="2">
        <f t="shared" si="1"/>
        <v>49</v>
      </c>
      <c r="B50" s="2" t="s">
        <v>142</v>
      </c>
      <c r="C50" s="2" t="str">
        <f>_xlfn.XLOOKUP(Table1[[#This Row],[Name]],Try_2[Name],Try_2[Element])</f>
        <v>CRYO</v>
      </c>
      <c r="D50" s="2" t="s">
        <v>1</v>
      </c>
      <c r="E50" s="2" t="s">
        <v>199</v>
      </c>
      <c r="F50" s="2" t="s">
        <v>1</v>
      </c>
      <c r="G50" s="2" t="s">
        <v>1</v>
      </c>
      <c r="H50" s="2" t="s">
        <v>199</v>
      </c>
    </row>
    <row r="51" spans="1:8" hidden="1" x14ac:dyDescent="0.3">
      <c r="A51" s="2">
        <f t="shared" si="1"/>
        <v>50</v>
      </c>
      <c r="B51" s="2" t="s">
        <v>143</v>
      </c>
      <c r="C51" s="2" t="str">
        <f>_xlfn.XLOOKUP(Table1[[#This Row],[Name]],Try_2[Name],Try_2[Element])</f>
        <v>ELECTRO</v>
      </c>
      <c r="D51" s="2" t="s">
        <v>1</v>
      </c>
      <c r="E51" s="2" t="s">
        <v>199</v>
      </c>
      <c r="F51" s="2" t="s">
        <v>199</v>
      </c>
      <c r="G51" s="2" t="s">
        <v>1</v>
      </c>
      <c r="H51" s="2" t="s">
        <v>1</v>
      </c>
    </row>
    <row r="52" spans="1:8" hidden="1" x14ac:dyDescent="0.3">
      <c r="A52" s="2">
        <f t="shared" si="1"/>
        <v>51</v>
      </c>
      <c r="B52" s="2" t="s">
        <v>144</v>
      </c>
      <c r="C52" s="2" t="str">
        <f>_xlfn.XLOOKUP(Table1[[#This Row],[Name]],Try_2[Name],Try_2[Element])</f>
        <v>ANEMO</v>
      </c>
      <c r="D52" s="2" t="s">
        <v>1</v>
      </c>
      <c r="E52" s="2" t="s">
        <v>199</v>
      </c>
      <c r="F52" s="2" t="s">
        <v>199</v>
      </c>
      <c r="G52" s="2" t="s">
        <v>1</v>
      </c>
      <c r="H52" s="2" t="s">
        <v>1</v>
      </c>
    </row>
    <row r="53" spans="1:8" hidden="1" x14ac:dyDescent="0.3">
      <c r="A53" s="2">
        <f t="shared" si="1"/>
        <v>52</v>
      </c>
      <c r="B53" s="2" t="s">
        <v>145</v>
      </c>
      <c r="C53" s="2" t="str">
        <f>_xlfn.XLOOKUP(Table1[[#This Row],[Name]],Try_2[Name],Try_2[Element])</f>
        <v>PYRO</v>
      </c>
      <c r="D53" s="2" t="s">
        <v>199</v>
      </c>
      <c r="E53" s="2" t="s">
        <v>1</v>
      </c>
      <c r="F53" s="2" t="s">
        <v>199</v>
      </c>
      <c r="G53" s="2" t="s">
        <v>1</v>
      </c>
      <c r="H53" s="2" t="s">
        <v>1</v>
      </c>
    </row>
    <row r="54" spans="1:8" hidden="1" x14ac:dyDescent="0.3">
      <c r="A54" s="2">
        <f t="shared" si="1"/>
        <v>53</v>
      </c>
      <c r="B54" s="2" t="s">
        <v>146</v>
      </c>
      <c r="C54" s="2" t="str">
        <f>_xlfn.XLOOKUP(Table1[[#This Row],[Name]],Try_2[Name],Try_2[Element])</f>
        <v>PYRO</v>
      </c>
      <c r="D54" s="2" t="s">
        <v>199</v>
      </c>
      <c r="E54" s="2" t="s">
        <v>199</v>
      </c>
      <c r="F54" s="2" t="s">
        <v>199</v>
      </c>
      <c r="G54" s="2" t="s">
        <v>199</v>
      </c>
      <c r="H54" s="2" t="s">
        <v>1</v>
      </c>
    </row>
    <row r="55" spans="1:8" x14ac:dyDescent="0.3">
      <c r="A55" s="2">
        <f t="shared" si="1"/>
        <v>54</v>
      </c>
      <c r="B55" s="2" t="s">
        <v>147</v>
      </c>
      <c r="C55" s="2" t="str">
        <f>_xlfn.XLOOKUP(Table1[[#This Row],[Name]],Try_2[Name],Try_2[Element])</f>
        <v>CRYO</v>
      </c>
      <c r="D55" s="2" t="s">
        <v>1</v>
      </c>
      <c r="E55" s="2" t="s">
        <v>199</v>
      </c>
      <c r="F55" s="2" t="s">
        <v>1</v>
      </c>
      <c r="G55" s="2" t="s">
        <v>199</v>
      </c>
      <c r="H55" s="2" t="s">
        <v>199</v>
      </c>
    </row>
    <row r="56" spans="1:8" hidden="1" x14ac:dyDescent="0.3">
      <c r="A56" s="2">
        <f t="shared" si="1"/>
        <v>55</v>
      </c>
      <c r="B56" s="2" t="s">
        <v>149</v>
      </c>
      <c r="C56" s="2" t="str">
        <f>_xlfn.XLOOKUP(Table1[[#This Row],[Name]],Try_2[Name],Try_2[Element])</f>
        <v>HYDRO</v>
      </c>
      <c r="D56" s="2" t="s">
        <v>199</v>
      </c>
      <c r="E56" s="2" t="s">
        <v>1</v>
      </c>
      <c r="F56" s="2" t="s">
        <v>199</v>
      </c>
      <c r="G56" s="2" t="s">
        <v>1</v>
      </c>
      <c r="H56" s="2" t="s">
        <v>1</v>
      </c>
    </row>
    <row r="57" spans="1:8" hidden="1" x14ac:dyDescent="0.3">
      <c r="A57" s="2">
        <f t="shared" si="1"/>
        <v>56</v>
      </c>
      <c r="B57" s="2" t="s">
        <v>192</v>
      </c>
      <c r="C57" s="2" t="str">
        <f>_xlfn.XLOOKUP(Table1[[#This Row],[Name]],Try_2[Name],Try_2[Element])</f>
        <v>PYRO</v>
      </c>
      <c r="D57" s="2" t="s">
        <v>199</v>
      </c>
      <c r="E57" s="2" t="s">
        <v>1</v>
      </c>
      <c r="F57" s="2" t="s">
        <v>199</v>
      </c>
      <c r="G57" s="2" t="s">
        <v>1</v>
      </c>
      <c r="H57" s="2" t="s">
        <v>1</v>
      </c>
    </row>
    <row r="58" spans="1:8" hidden="1" x14ac:dyDescent="0.3">
      <c r="A58" s="2">
        <f t="shared" si="1"/>
        <v>57</v>
      </c>
      <c r="B58" s="2" t="s">
        <v>13</v>
      </c>
      <c r="C58" s="2" t="str">
        <f>_xlfn.XLOOKUP(Table1[[#This Row],[Name]],Try_2[Name],Try_2[Element])</f>
        <v>DENDRO</v>
      </c>
      <c r="D58" s="2" t="s">
        <v>1</v>
      </c>
      <c r="E58" s="2" t="s">
        <v>199</v>
      </c>
      <c r="F58" s="2" t="s">
        <v>199</v>
      </c>
      <c r="G58" s="2" t="s">
        <v>199</v>
      </c>
      <c r="H58" s="2" t="s">
        <v>1</v>
      </c>
    </row>
    <row r="59" spans="1:8" hidden="1" x14ac:dyDescent="0.3">
      <c r="A59" s="2">
        <f t="shared" si="1"/>
        <v>58</v>
      </c>
      <c r="B59" s="2" t="s">
        <v>150</v>
      </c>
      <c r="C59" s="2" t="str">
        <f>_xlfn.XLOOKUP(Table1[[#This Row],[Name]],Try_2[Name],Try_2[Element])</f>
        <v>GEO</v>
      </c>
      <c r="D59" s="2" t="s">
        <v>199</v>
      </c>
      <c r="E59" s="2" t="s">
        <v>1</v>
      </c>
      <c r="F59" s="2" t="s">
        <v>199</v>
      </c>
      <c r="G59" s="2" t="s">
        <v>1</v>
      </c>
      <c r="H59" s="2" t="s">
        <v>1</v>
      </c>
    </row>
    <row r="60" spans="1:8" hidden="1" x14ac:dyDescent="0.3">
      <c r="A60" s="2">
        <f t="shared" si="1"/>
        <v>59</v>
      </c>
      <c r="B60" s="2" t="s">
        <v>151</v>
      </c>
      <c r="C60" s="2" t="str">
        <f>_xlfn.XLOOKUP(Table1[[#This Row],[Name]],Try_2[Name],Try_2[Element])</f>
        <v>HYDRO</v>
      </c>
      <c r="D60" s="2" t="s">
        <v>199</v>
      </c>
      <c r="E60" s="2" t="s">
        <v>1</v>
      </c>
      <c r="F60" s="2" t="s">
        <v>199</v>
      </c>
      <c r="G60" s="2" t="s">
        <v>1</v>
      </c>
      <c r="H60" s="2" t="s">
        <v>1</v>
      </c>
    </row>
    <row r="61" spans="1:8" hidden="1" x14ac:dyDescent="0.3">
      <c r="A61" s="2">
        <f t="shared" si="1"/>
        <v>60</v>
      </c>
      <c r="B61" s="2" t="s">
        <v>153</v>
      </c>
      <c r="C61" s="2" t="str">
        <f>_xlfn.XLOOKUP(Table1[[#This Row],[Name]],Try_2[Name],Try_2[Element])</f>
        <v>HYDRO</v>
      </c>
      <c r="D61" s="2" t="s">
        <v>1</v>
      </c>
      <c r="E61" s="2" t="s">
        <v>199</v>
      </c>
      <c r="F61" s="2" t="s">
        <v>199</v>
      </c>
      <c r="G61" s="2" t="s">
        <v>199</v>
      </c>
      <c r="H61" s="2" t="s">
        <v>1</v>
      </c>
    </row>
    <row r="62" spans="1:8" hidden="1" x14ac:dyDescent="0.3">
      <c r="A62" s="2">
        <f t="shared" si="1"/>
        <v>61</v>
      </c>
      <c r="B62" s="2" t="s">
        <v>154</v>
      </c>
      <c r="C62" s="2" t="str">
        <f>_xlfn.XLOOKUP(Table1[[#This Row],[Name]],Try_2[Name],Try_2[Element])</f>
        <v>GEO</v>
      </c>
      <c r="D62" s="2" t="s">
        <v>199</v>
      </c>
      <c r="E62" s="2" t="s">
        <v>1</v>
      </c>
      <c r="F62" s="2" t="s">
        <v>199</v>
      </c>
      <c r="G62" s="2" t="s">
        <v>1</v>
      </c>
      <c r="H62" s="2" t="s">
        <v>1</v>
      </c>
    </row>
    <row r="63" spans="1:8" hidden="1" x14ac:dyDescent="0.3">
      <c r="A63" s="2">
        <f t="shared" si="1"/>
        <v>62</v>
      </c>
      <c r="B63" s="2" t="s">
        <v>155</v>
      </c>
      <c r="C63" s="2" t="str">
        <f>_xlfn.XLOOKUP(Table1[[#This Row],[Name]],Try_2[Name],Try_2[Element])</f>
        <v>GEO</v>
      </c>
      <c r="D63" s="2" t="s">
        <v>199</v>
      </c>
      <c r="E63" s="2" t="s">
        <v>1</v>
      </c>
      <c r="F63" s="2" t="s">
        <v>199</v>
      </c>
      <c r="G63" s="2" t="s">
        <v>1</v>
      </c>
      <c r="H63" s="2" t="s">
        <v>199</v>
      </c>
    </row>
    <row r="64" spans="1:8" hidden="1" x14ac:dyDescent="0.3">
      <c r="A64" s="2">
        <f t="shared" si="1"/>
        <v>63</v>
      </c>
      <c r="B64" s="2" t="s">
        <v>156</v>
      </c>
      <c r="C64" s="2" t="str">
        <f>_xlfn.XLOOKUP(Table1[[#This Row],[Name]],Try_2[Name],Try_2[Element])</f>
        <v>ELECTRO</v>
      </c>
      <c r="D64" s="2" t="s">
        <v>1</v>
      </c>
      <c r="E64" s="2" t="s">
        <v>199</v>
      </c>
      <c r="F64" s="2" t="s">
        <v>199</v>
      </c>
      <c r="G64" s="2" t="s">
        <v>1</v>
      </c>
      <c r="H64" s="2" t="s">
        <v>1</v>
      </c>
    </row>
    <row r="65" spans="1:8" x14ac:dyDescent="0.3">
      <c r="A65" s="2">
        <f t="shared" si="1"/>
        <v>64</v>
      </c>
      <c r="B65" s="2" t="s">
        <v>157</v>
      </c>
      <c r="C65" s="2" t="str">
        <f>_xlfn.XLOOKUP(Table1[[#This Row],[Name]],Try_2[Name],Try_2[Element])</f>
        <v>CRYO</v>
      </c>
      <c r="D65" s="2" t="s">
        <v>1</v>
      </c>
      <c r="E65" s="2" t="s">
        <v>199</v>
      </c>
      <c r="F65" s="2" t="s">
        <v>1</v>
      </c>
      <c r="G65" s="2" t="s">
        <v>1</v>
      </c>
      <c r="H65" s="2" t="s">
        <v>199</v>
      </c>
    </row>
    <row r="66" spans="1:8" hidden="1" x14ac:dyDescent="0.3">
      <c r="A66" s="2">
        <f t="shared" ref="A66:A111" si="2">ROW(A65)</f>
        <v>65</v>
      </c>
      <c r="B66" s="2" t="s">
        <v>158</v>
      </c>
      <c r="C66" s="2" t="str">
        <f>_xlfn.XLOOKUP(Table1[[#This Row],[Name]],Try_2[Name],Try_2[Element])</f>
        <v>ELECTRO</v>
      </c>
      <c r="D66" s="2" t="s">
        <v>199</v>
      </c>
      <c r="E66" s="2" t="s">
        <v>1</v>
      </c>
      <c r="F66" s="2" t="s">
        <v>199</v>
      </c>
      <c r="G66" s="2" t="s">
        <v>199</v>
      </c>
      <c r="H66" s="2" t="s">
        <v>1</v>
      </c>
    </row>
    <row r="67" spans="1:8" hidden="1" x14ac:dyDescent="0.3">
      <c r="A67" s="2">
        <f t="shared" si="2"/>
        <v>66</v>
      </c>
      <c r="B67" s="2" t="s">
        <v>159</v>
      </c>
      <c r="C67" s="2" t="str">
        <f>_xlfn.XLOOKUP(Table1[[#This Row],[Name]],Try_2[Name],Try_2[Element])</f>
        <v>ELECTRO</v>
      </c>
      <c r="D67" s="2" t="s">
        <v>199</v>
      </c>
      <c r="E67" s="2" t="s">
        <v>1</v>
      </c>
      <c r="F67" s="2" t="s">
        <v>199</v>
      </c>
      <c r="G67" s="2" t="s">
        <v>1</v>
      </c>
      <c r="H67" s="2" t="s">
        <v>1</v>
      </c>
    </row>
    <row r="68" spans="1:8" hidden="1" x14ac:dyDescent="0.3">
      <c r="A68" s="2">
        <f t="shared" si="2"/>
        <v>67</v>
      </c>
      <c r="B68" s="2" t="s">
        <v>160</v>
      </c>
      <c r="C68" s="2" t="str">
        <f>_xlfn.XLOOKUP(Table1[[#This Row],[Name]],Try_2[Name],Try_2[Element])</f>
        <v>CRYO</v>
      </c>
      <c r="D68" s="2" t="s">
        <v>1</v>
      </c>
      <c r="E68" s="2" t="s">
        <v>199</v>
      </c>
      <c r="F68" s="2" t="s">
        <v>199</v>
      </c>
      <c r="G68" s="2" t="s">
        <v>1</v>
      </c>
      <c r="H68" s="2" t="s">
        <v>1</v>
      </c>
    </row>
    <row r="69" spans="1:8" x14ac:dyDescent="0.3">
      <c r="A69" s="2">
        <f t="shared" si="2"/>
        <v>68</v>
      </c>
      <c r="B69" s="2" t="s">
        <v>162</v>
      </c>
      <c r="C69" s="2" t="str">
        <f>_xlfn.XLOOKUP(Table1[[#This Row],[Name]],Try_2[Name],Try_2[Element])</f>
        <v>HYDRO</v>
      </c>
      <c r="D69" s="2" t="s">
        <v>1</v>
      </c>
      <c r="E69" s="2" t="s">
        <v>199</v>
      </c>
      <c r="F69" s="2" t="s">
        <v>1</v>
      </c>
      <c r="G69" s="2" t="s">
        <v>199</v>
      </c>
      <c r="H69" s="2" t="s">
        <v>199</v>
      </c>
    </row>
    <row r="70" spans="1:8" x14ac:dyDescent="0.3">
      <c r="A70" s="2">
        <f t="shared" si="2"/>
        <v>69</v>
      </c>
      <c r="B70" s="2" t="s">
        <v>163</v>
      </c>
      <c r="C70" s="2" t="str">
        <f>_xlfn.XLOOKUP(Table1[[#This Row],[Name]],Try_2[Name],Try_2[Element])</f>
        <v>ANEMO</v>
      </c>
      <c r="D70" s="2" t="s">
        <v>1</v>
      </c>
      <c r="E70" s="2" t="s">
        <v>199</v>
      </c>
      <c r="F70" s="2" t="s">
        <v>1</v>
      </c>
      <c r="G70" s="2" t="s">
        <v>1</v>
      </c>
      <c r="H70" s="2" t="s">
        <v>199</v>
      </c>
    </row>
    <row r="71" spans="1:8" hidden="1" x14ac:dyDescent="0.3">
      <c r="A71" s="2">
        <f t="shared" si="2"/>
        <v>70</v>
      </c>
      <c r="B71" s="2" t="s">
        <v>164</v>
      </c>
      <c r="C71" s="2" t="str">
        <f>_xlfn.XLOOKUP(Table1[[#This Row],[Name]],Try_2[Name],Try_2[Element])</f>
        <v>ELECTRO</v>
      </c>
      <c r="D71" s="2" t="s">
        <v>199</v>
      </c>
      <c r="E71" s="2" t="s">
        <v>1</v>
      </c>
      <c r="F71" s="2" t="s">
        <v>199</v>
      </c>
      <c r="G71" s="2" t="s">
        <v>1</v>
      </c>
      <c r="H71" s="2" t="s">
        <v>1</v>
      </c>
    </row>
    <row r="72" spans="1:8" hidden="1" x14ac:dyDescent="0.3">
      <c r="A72" s="2">
        <f t="shared" si="2"/>
        <v>71</v>
      </c>
      <c r="B72" s="2" t="s">
        <v>165</v>
      </c>
      <c r="C72" s="2" t="str">
        <f>_xlfn.XLOOKUP(Table1[[#This Row],[Name]],Try_2[Name],Try_2[Element])</f>
        <v>CRYO</v>
      </c>
      <c r="D72" s="2" t="s">
        <v>1</v>
      </c>
      <c r="E72" s="2" t="s">
        <v>199</v>
      </c>
      <c r="F72" s="2" t="s">
        <v>1</v>
      </c>
      <c r="G72" s="2" t="s">
        <v>199</v>
      </c>
      <c r="H72" s="2" t="s">
        <v>1</v>
      </c>
    </row>
    <row r="73" spans="1:8" hidden="1" x14ac:dyDescent="0.3">
      <c r="A73" s="2">
        <f t="shared" si="2"/>
        <v>72</v>
      </c>
      <c r="B73" s="2" t="s">
        <v>167</v>
      </c>
      <c r="C73" s="2" t="str">
        <f>_xlfn.XLOOKUP(Table1[[#This Row],[Name]],Try_2[Name],Try_2[Element])</f>
        <v>ANEMO</v>
      </c>
      <c r="D73" s="2" t="s">
        <v>199</v>
      </c>
      <c r="E73" s="2" t="s">
        <v>1</v>
      </c>
      <c r="F73" s="2" t="s">
        <v>199</v>
      </c>
      <c r="G73" s="2" t="s">
        <v>1</v>
      </c>
      <c r="H73" s="2" t="s">
        <v>1</v>
      </c>
    </row>
    <row r="74" spans="1:8" x14ac:dyDescent="0.3">
      <c r="A74" s="2">
        <f t="shared" si="2"/>
        <v>73</v>
      </c>
      <c r="B74" s="2" t="s">
        <v>169</v>
      </c>
      <c r="C74" s="2" t="str">
        <f>_xlfn.XLOOKUP(Table1[[#This Row],[Name]],Try_2[Name],Try_2[Element])</f>
        <v>HYDRO</v>
      </c>
      <c r="D74" s="2" t="s">
        <v>1</v>
      </c>
      <c r="E74" s="2" t="s">
        <v>199</v>
      </c>
      <c r="F74" s="2" t="s">
        <v>1</v>
      </c>
      <c r="G74" s="2" t="s">
        <v>199</v>
      </c>
      <c r="H74" s="2" t="s">
        <v>199</v>
      </c>
    </row>
    <row r="75" spans="1:8" hidden="1" x14ac:dyDescent="0.3">
      <c r="A75" s="2">
        <f t="shared" si="2"/>
        <v>74</v>
      </c>
      <c r="B75" s="2" t="s">
        <v>170</v>
      </c>
      <c r="C75" s="2" t="str">
        <f>_xlfn.XLOOKUP(Table1[[#This Row],[Name]],Try_2[Name],Try_2[Element])</f>
        <v>ANEMO</v>
      </c>
      <c r="D75" s="2" t="s">
        <v>1</v>
      </c>
      <c r="E75" s="2" t="s">
        <v>199</v>
      </c>
      <c r="F75" s="2" t="s">
        <v>1</v>
      </c>
      <c r="G75" s="2" t="s">
        <v>199</v>
      </c>
      <c r="H75" s="2" t="s">
        <v>1</v>
      </c>
    </row>
    <row r="76" spans="1:8" hidden="1" x14ac:dyDescent="0.3">
      <c r="A76" s="2">
        <f t="shared" si="2"/>
        <v>75</v>
      </c>
      <c r="B76" s="2" t="s">
        <v>171</v>
      </c>
      <c r="C76" s="2" t="str">
        <f>_xlfn.XLOOKUP(Table1[[#This Row],[Name]],Try_2[Name],Try_2[Element])</f>
        <v>HYDRO</v>
      </c>
      <c r="D76" s="2" t="s">
        <v>199</v>
      </c>
      <c r="E76" s="2" t="s">
        <v>1</v>
      </c>
      <c r="F76" s="2" t="s">
        <v>199</v>
      </c>
      <c r="G76" s="2" t="s">
        <v>1</v>
      </c>
      <c r="H76" s="2" t="s">
        <v>1</v>
      </c>
    </row>
    <row r="77" spans="1:8" x14ac:dyDescent="0.3">
      <c r="A77" s="2">
        <f t="shared" si="2"/>
        <v>76</v>
      </c>
      <c r="B77" s="2" t="s">
        <v>173</v>
      </c>
      <c r="C77" s="2" t="str">
        <f>_xlfn.XLOOKUP(Table1[[#This Row],[Name]],Try_2[Name],Try_2[Element])</f>
        <v>PYRO</v>
      </c>
      <c r="D77" s="2" t="s">
        <v>1</v>
      </c>
      <c r="E77" s="2" t="s">
        <v>199</v>
      </c>
      <c r="F77" s="2" t="s">
        <v>1</v>
      </c>
      <c r="G77" s="2" t="s">
        <v>1</v>
      </c>
      <c r="H77" s="2" t="s">
        <v>199</v>
      </c>
    </row>
    <row r="78" spans="1:8" hidden="1" x14ac:dyDescent="0.3">
      <c r="A78" s="2">
        <f t="shared" si="2"/>
        <v>77</v>
      </c>
      <c r="B78" s="2" t="s">
        <v>174</v>
      </c>
      <c r="C78" s="2" t="str">
        <f>_xlfn.XLOOKUP(Table1[[#This Row],[Name]],Try_2[Name],Try_2[Element])</f>
        <v>DENDRO</v>
      </c>
      <c r="D78" s="2" t="s">
        <v>199</v>
      </c>
      <c r="E78" s="2" t="s">
        <v>1</v>
      </c>
      <c r="F78" s="2" t="s">
        <v>199</v>
      </c>
      <c r="G78" s="2" t="s">
        <v>1</v>
      </c>
      <c r="H78" s="2" t="s">
        <v>1</v>
      </c>
    </row>
    <row r="79" spans="1:8" hidden="1" x14ac:dyDescent="0.3">
      <c r="A79" s="2">
        <f t="shared" si="2"/>
        <v>78</v>
      </c>
      <c r="B79" s="2" t="s">
        <v>10</v>
      </c>
      <c r="C79" s="2" t="str">
        <f>_xlfn.XLOOKUP(Table1[[#This Row],[Name]],Try_2[Name],Try_2[Element])</f>
        <v>ANEMO</v>
      </c>
      <c r="D79" s="2" t="s">
        <v>1</v>
      </c>
      <c r="E79" s="2" t="s">
        <v>199</v>
      </c>
      <c r="F79" s="2" t="s">
        <v>199</v>
      </c>
      <c r="G79" s="2" t="s">
        <v>199</v>
      </c>
      <c r="H79" s="2" t="s">
        <v>1</v>
      </c>
    </row>
    <row r="80" spans="1:8" hidden="1" x14ac:dyDescent="0.3">
      <c r="A80" s="2">
        <f t="shared" si="2"/>
        <v>79</v>
      </c>
      <c r="B80" s="2" t="s">
        <v>177</v>
      </c>
      <c r="C80" s="2" t="str">
        <f>_xlfn.XLOOKUP(Table1[[#This Row],[Name]],Try_2[Name],Try_2[Element])</f>
        <v>ANEMO</v>
      </c>
      <c r="D80" s="2" t="s">
        <v>199</v>
      </c>
      <c r="E80" s="2" t="s">
        <v>1</v>
      </c>
      <c r="F80" s="2" t="s">
        <v>199</v>
      </c>
      <c r="G80" s="2" t="s">
        <v>1</v>
      </c>
      <c r="H80" s="2" t="s">
        <v>1</v>
      </c>
    </row>
    <row r="81" spans="1:8" hidden="1" x14ac:dyDescent="0.3">
      <c r="A81" s="2">
        <f t="shared" si="2"/>
        <v>80</v>
      </c>
      <c r="B81" s="2" t="s">
        <v>178</v>
      </c>
      <c r="C81" s="2" t="str">
        <f>_xlfn.XLOOKUP(Table1[[#This Row],[Name]],Try_2[Name],Try_2[Element])</f>
        <v>CRYO</v>
      </c>
      <c r="D81" s="2" t="s">
        <v>199</v>
      </c>
      <c r="E81" s="2" t="s">
        <v>1</v>
      </c>
      <c r="F81" s="2" t="s">
        <v>199</v>
      </c>
      <c r="G81" s="2" t="s">
        <v>1</v>
      </c>
      <c r="H81" s="2" t="s">
        <v>1</v>
      </c>
    </row>
    <row r="82" spans="1:8" hidden="1" x14ac:dyDescent="0.3">
      <c r="A82" s="2">
        <f t="shared" si="2"/>
        <v>81</v>
      </c>
      <c r="B82" s="2" t="s">
        <v>41</v>
      </c>
      <c r="C82" s="2" t="str">
        <f>_xlfn.XLOOKUP(Table1[[#This Row],[Name]],Try_2[Name],Try_2[Element])</f>
        <v>PYRO</v>
      </c>
      <c r="D82" s="2" t="s">
        <v>1</v>
      </c>
      <c r="E82" s="2" t="s">
        <v>199</v>
      </c>
      <c r="F82" s="2" t="s">
        <v>199</v>
      </c>
      <c r="G82" s="2" t="s">
        <v>1</v>
      </c>
      <c r="H82" s="2" t="s">
        <v>1</v>
      </c>
    </row>
    <row r="83" spans="1:8" x14ac:dyDescent="0.3">
      <c r="A83" s="2">
        <f t="shared" si="2"/>
        <v>82</v>
      </c>
      <c r="B83" s="2" t="s">
        <v>179</v>
      </c>
      <c r="C83" s="2" t="str">
        <f>_xlfn.XLOOKUP(Table1[[#This Row],[Name]],Try_2[Name],Try_2[Element])</f>
        <v>ANEMO</v>
      </c>
      <c r="D83" s="2" t="s">
        <v>1</v>
      </c>
      <c r="E83" s="2" t="s">
        <v>199</v>
      </c>
      <c r="F83" s="2" t="s">
        <v>1</v>
      </c>
      <c r="G83" s="2" t="s">
        <v>199</v>
      </c>
      <c r="H83" s="2" t="s">
        <v>199</v>
      </c>
    </row>
    <row r="84" spans="1:8" hidden="1" x14ac:dyDescent="0.3">
      <c r="A84" s="2">
        <f t="shared" si="2"/>
        <v>83</v>
      </c>
      <c r="B84" s="2" t="s">
        <v>16</v>
      </c>
      <c r="C84" s="2" t="str">
        <f>_xlfn.XLOOKUP(Table1[[#This Row],[Name]],Try_2[Name],Try_2[Element])</f>
        <v>ANEMO</v>
      </c>
      <c r="D84" s="2" t="s">
        <v>199</v>
      </c>
      <c r="E84" s="2" t="s">
        <v>1</v>
      </c>
      <c r="F84" s="2" t="s">
        <v>199</v>
      </c>
      <c r="G84" s="2" t="s">
        <v>1</v>
      </c>
      <c r="H84" s="2" t="s">
        <v>1</v>
      </c>
    </row>
    <row r="85" spans="1:8" x14ac:dyDescent="0.3">
      <c r="A85" s="2">
        <f t="shared" si="2"/>
        <v>84</v>
      </c>
      <c r="B85" s="2" t="s">
        <v>180</v>
      </c>
      <c r="C85" s="2" t="str">
        <f>_xlfn.XLOOKUP(Table1[[#This Row],[Name]],Try_2[Name],Try_2[Element])</f>
        <v>GEO</v>
      </c>
      <c r="D85" s="2" t="s">
        <v>1</v>
      </c>
      <c r="E85" s="2" t="s">
        <v>199</v>
      </c>
      <c r="F85" s="2" t="s">
        <v>1</v>
      </c>
      <c r="G85" s="2" t="s">
        <v>199</v>
      </c>
      <c r="H85" s="2" t="s">
        <v>199</v>
      </c>
    </row>
    <row r="86" spans="1:8" hidden="1" x14ac:dyDescent="0.3">
      <c r="A86" s="2">
        <f t="shared" si="2"/>
        <v>85</v>
      </c>
      <c r="B86" s="2" t="s">
        <v>182</v>
      </c>
      <c r="C86" s="2" t="str">
        <f>_xlfn.XLOOKUP(Table1[[#This Row],[Name]],Try_2[Name],Try_2[Element])</f>
        <v>HYDRO</v>
      </c>
      <c r="D86" s="2" t="s">
        <v>1</v>
      </c>
      <c r="E86" s="2" t="s">
        <v>199</v>
      </c>
      <c r="F86" s="2" t="s">
        <v>199</v>
      </c>
      <c r="G86" s="2" t="s">
        <v>1</v>
      </c>
      <c r="H86" s="2" t="s">
        <v>199</v>
      </c>
    </row>
    <row r="87" spans="1:8" x14ac:dyDescent="0.3">
      <c r="A87" s="2">
        <f t="shared" si="2"/>
        <v>86</v>
      </c>
      <c r="B87" s="2" t="s">
        <v>183</v>
      </c>
      <c r="C87" s="2" t="str">
        <f>_xlfn.XLOOKUP(Table1[[#This Row],[Name]],Try_2[Name],Try_2[Element])</f>
        <v>PYRO</v>
      </c>
      <c r="D87" s="2" t="s">
        <v>1</v>
      </c>
      <c r="E87" s="2" t="s">
        <v>199</v>
      </c>
      <c r="F87" s="2" t="s">
        <v>1</v>
      </c>
      <c r="G87" s="2" t="s">
        <v>1</v>
      </c>
      <c r="H87" s="2" t="s">
        <v>199</v>
      </c>
    </row>
    <row r="88" spans="1:8" hidden="1" x14ac:dyDescent="0.3">
      <c r="A88" s="2">
        <f t="shared" si="2"/>
        <v>87</v>
      </c>
      <c r="B88" s="2" t="s">
        <v>184</v>
      </c>
      <c r="C88" s="2" t="str">
        <f>_xlfn.XLOOKUP(Table1[[#This Row],[Name]],Try_2[Name],Try_2[Element])</f>
        <v>ELECTRO</v>
      </c>
      <c r="D88" s="2" t="s">
        <v>1</v>
      </c>
      <c r="E88" s="2" t="s">
        <v>199</v>
      </c>
      <c r="F88" s="2" t="s">
        <v>199</v>
      </c>
      <c r="G88" s="2" t="s">
        <v>1</v>
      </c>
      <c r="H88" s="2" t="s">
        <v>1</v>
      </c>
    </row>
    <row r="89" spans="1:8" hidden="1" x14ac:dyDescent="0.3">
      <c r="A89" s="2">
        <f t="shared" si="2"/>
        <v>88</v>
      </c>
      <c r="B89" s="2" t="s">
        <v>186</v>
      </c>
      <c r="C89" s="2" t="str">
        <f>_xlfn.XLOOKUP(Table1[[#This Row],[Name]],Try_2[Name],Try_2[Element])</f>
        <v>PYRO</v>
      </c>
      <c r="D89" s="2" t="s">
        <v>199</v>
      </c>
      <c r="E89" s="2" t="s">
        <v>1</v>
      </c>
      <c r="F89" s="2" t="s">
        <v>199</v>
      </c>
      <c r="G89" s="2" t="s">
        <v>1</v>
      </c>
      <c r="H89" s="2" t="s">
        <v>1</v>
      </c>
    </row>
    <row r="90" spans="1:8" x14ac:dyDescent="0.3">
      <c r="A90" s="2">
        <f t="shared" si="2"/>
        <v>89</v>
      </c>
      <c r="B90" s="2" t="s">
        <v>187</v>
      </c>
      <c r="C90" s="2" t="str">
        <f>_xlfn.XLOOKUP(Table1[[#This Row],[Name]],Try_2[Name],Try_2[Element])</f>
        <v>DENDRO</v>
      </c>
      <c r="D90" s="2" t="s">
        <v>1</v>
      </c>
      <c r="E90" s="2" t="s">
        <v>199</v>
      </c>
      <c r="F90" s="2" t="s">
        <v>1</v>
      </c>
      <c r="G90" s="2" t="s">
        <v>1</v>
      </c>
      <c r="H90" s="2" t="s">
        <v>199</v>
      </c>
    </row>
    <row r="91" spans="1:8" hidden="1" x14ac:dyDescent="0.3">
      <c r="A91" s="2">
        <f t="shared" si="2"/>
        <v>90</v>
      </c>
      <c r="B91" s="2" t="s">
        <v>188</v>
      </c>
      <c r="C91" s="2" t="str">
        <f>_xlfn.XLOOKUP(Table1[[#This Row],[Name]],Try_2[Name],Try_2[Element])</f>
        <v>HYDRO</v>
      </c>
      <c r="D91" s="2" t="s">
        <v>1</v>
      </c>
      <c r="E91" s="2" t="s">
        <v>199</v>
      </c>
      <c r="F91" s="2" t="s">
        <v>199</v>
      </c>
      <c r="G91" s="2" t="s">
        <v>1</v>
      </c>
      <c r="H91" s="2" t="s">
        <v>1</v>
      </c>
    </row>
    <row r="92" spans="1:8" hidden="1" x14ac:dyDescent="0.3">
      <c r="A92" s="2">
        <f t="shared" si="2"/>
        <v>91</v>
      </c>
      <c r="B92" s="2" t="s">
        <v>190</v>
      </c>
      <c r="C92" s="2" t="str">
        <f>_xlfn.XLOOKUP(Table1[[#This Row],[Name]],Try_2[Name],Try_2[Element])</f>
        <v>ANEMO</v>
      </c>
      <c r="D92" s="2" t="s">
        <v>199</v>
      </c>
      <c r="E92" s="2" t="s">
        <v>1</v>
      </c>
      <c r="F92" s="2" t="s">
        <v>199</v>
      </c>
      <c r="G92" s="2" t="s">
        <v>1</v>
      </c>
      <c r="H92" s="2" t="s">
        <v>199</v>
      </c>
    </row>
    <row r="93" spans="1:8" hidden="1" x14ac:dyDescent="0.3">
      <c r="A93" s="2">
        <f t="shared" si="2"/>
        <v>92</v>
      </c>
      <c r="B93" s="2" t="s">
        <v>189</v>
      </c>
      <c r="C93" s="2" t="str">
        <f>_xlfn.XLOOKUP(Table1[[#This Row],[Name]],Try_2[Name],Try_2[Element])</f>
        <v>GEO</v>
      </c>
      <c r="D93" s="2" t="s">
        <v>1</v>
      </c>
      <c r="E93" s="2" t="s">
        <v>199</v>
      </c>
      <c r="F93" s="2" t="s">
        <v>1</v>
      </c>
      <c r="G93" s="2" t="s">
        <v>199</v>
      </c>
      <c r="H93" s="2" t="s">
        <v>1</v>
      </c>
    </row>
    <row r="94" spans="1:8" x14ac:dyDescent="0.3">
      <c r="A94" s="2">
        <f t="shared" si="2"/>
        <v>93</v>
      </c>
      <c r="B94" s="2" t="s">
        <v>12</v>
      </c>
      <c r="C94" s="2" t="str">
        <f>_xlfn.XLOOKUP(Table1[[#This Row],[Name]],Try_2[Name],Try_2[Element])</f>
        <v>GEO</v>
      </c>
      <c r="D94" s="2" t="s">
        <v>1</v>
      </c>
      <c r="E94" s="2" t="s">
        <v>199</v>
      </c>
      <c r="F94" s="2" t="s">
        <v>1</v>
      </c>
      <c r="G94" s="2" t="s">
        <v>199</v>
      </c>
      <c r="H94" s="2" t="s">
        <v>199</v>
      </c>
    </row>
    <row r="95" spans="1:8" hidden="1" x14ac:dyDescent="0.3">
      <c r="A95" s="2">
        <f t="shared" si="2"/>
        <v>94</v>
      </c>
      <c r="B95" s="2" t="s">
        <v>87</v>
      </c>
      <c r="C95" s="2" t="str">
        <f>_xlfn.XLOOKUP(Table1[[#This Row],[Name]],Try_2[Name],Try_2[Element])</f>
        <v>ANEMO</v>
      </c>
      <c r="D95" s="2" t="s">
        <v>1</v>
      </c>
      <c r="E95" s="2" t="s">
        <v>199</v>
      </c>
      <c r="F95" s="2" t="s">
        <v>1</v>
      </c>
      <c r="G95" s="2" t="s">
        <v>199</v>
      </c>
      <c r="H95" s="2" t="s">
        <v>1</v>
      </c>
    </row>
    <row r="96" spans="1:8" x14ac:dyDescent="0.3">
      <c r="A96" s="2">
        <f t="shared" si="2"/>
        <v>95</v>
      </c>
      <c r="B96" s="2" t="s">
        <v>201</v>
      </c>
      <c r="C96" s="2" t="s">
        <v>31</v>
      </c>
      <c r="D96" s="2" t="s">
        <v>1</v>
      </c>
      <c r="E96" s="2" t="s">
        <v>199</v>
      </c>
      <c r="F96" s="2" t="s">
        <v>1</v>
      </c>
      <c r="G96" s="2" t="s">
        <v>199</v>
      </c>
      <c r="H96" s="2" t="s">
        <v>199</v>
      </c>
    </row>
    <row r="97" spans="1:8" hidden="1" x14ac:dyDescent="0.3">
      <c r="A97" s="2">
        <f t="shared" si="2"/>
        <v>96</v>
      </c>
      <c r="B97" s="2" t="s">
        <v>203</v>
      </c>
      <c r="C97" s="2" t="s">
        <v>31</v>
      </c>
      <c r="D97" s="2" t="s">
        <v>199</v>
      </c>
      <c r="E97" s="2" t="s">
        <v>1</v>
      </c>
      <c r="F97" s="2" t="s">
        <v>199</v>
      </c>
      <c r="G97" s="2" t="s">
        <v>1</v>
      </c>
      <c r="H97" s="2" t="s">
        <v>1</v>
      </c>
    </row>
    <row r="98" spans="1:8" hidden="1" x14ac:dyDescent="0.3">
      <c r="A98" s="2">
        <f t="shared" si="2"/>
        <v>97</v>
      </c>
      <c r="B98" s="2" t="s">
        <v>204</v>
      </c>
      <c r="C98" s="2" t="s">
        <v>44</v>
      </c>
      <c r="D98" s="2" t="s">
        <v>1</v>
      </c>
      <c r="E98" s="2" t="s">
        <v>199</v>
      </c>
      <c r="F98" s="2" t="s">
        <v>199</v>
      </c>
      <c r="G98" s="2" t="s">
        <v>199</v>
      </c>
      <c r="H98" s="2" t="s">
        <v>199</v>
      </c>
    </row>
    <row r="99" spans="1:8" x14ac:dyDescent="0.3">
      <c r="A99" s="2">
        <f t="shared" si="2"/>
        <v>98</v>
      </c>
      <c r="B99" s="2" t="s">
        <v>206</v>
      </c>
      <c r="C99" s="2" t="s">
        <v>35</v>
      </c>
      <c r="D99" s="2" t="s">
        <v>1</v>
      </c>
      <c r="E99" s="2" t="s">
        <v>1</v>
      </c>
      <c r="F99" s="2" t="s">
        <v>1</v>
      </c>
      <c r="G99" s="2" t="s">
        <v>199</v>
      </c>
      <c r="H99" s="2" t="s">
        <v>199</v>
      </c>
    </row>
    <row r="100" spans="1:8" x14ac:dyDescent="0.3">
      <c r="A100" s="2">
        <f t="shared" si="2"/>
        <v>99</v>
      </c>
      <c r="B100" s="2" t="s">
        <v>207</v>
      </c>
      <c r="C100" s="2" t="s">
        <v>45</v>
      </c>
      <c r="D100" s="2" t="s">
        <v>1</v>
      </c>
      <c r="E100" s="2" t="s">
        <v>199</v>
      </c>
      <c r="F100" s="2" t="s">
        <v>1</v>
      </c>
      <c r="G100" s="2" t="s">
        <v>1</v>
      </c>
      <c r="H100" s="2" t="s">
        <v>199</v>
      </c>
    </row>
    <row r="101" spans="1:8" hidden="1" x14ac:dyDescent="0.3">
      <c r="A101" s="2">
        <f t="shared" si="2"/>
        <v>100</v>
      </c>
      <c r="B101" s="2" t="s">
        <v>209</v>
      </c>
      <c r="C101" s="2" t="s">
        <v>44</v>
      </c>
      <c r="D101" s="2" t="s">
        <v>199</v>
      </c>
      <c r="E101" s="2" t="s">
        <v>1</v>
      </c>
      <c r="F101" s="2" t="s">
        <v>199</v>
      </c>
      <c r="G101" s="2" t="s">
        <v>1</v>
      </c>
      <c r="H101" s="2" t="s">
        <v>1</v>
      </c>
    </row>
    <row r="102" spans="1:8" hidden="1" x14ac:dyDescent="0.3">
      <c r="A102" s="2">
        <f t="shared" si="2"/>
        <v>101</v>
      </c>
      <c r="B102" s="2" t="s">
        <v>210</v>
      </c>
      <c r="C102" s="2" t="s">
        <v>31</v>
      </c>
      <c r="D102" s="2" t="s">
        <v>1</v>
      </c>
      <c r="E102" s="2" t="s">
        <v>199</v>
      </c>
      <c r="F102" s="2" t="s">
        <v>199</v>
      </c>
      <c r="G102" s="2" t="s">
        <v>1</v>
      </c>
      <c r="H102" s="2" t="s">
        <v>199</v>
      </c>
    </row>
    <row r="103" spans="1:8" hidden="1" x14ac:dyDescent="0.3">
      <c r="A103" s="2">
        <f t="shared" si="2"/>
        <v>102</v>
      </c>
      <c r="B103" s="2" t="s">
        <v>213</v>
      </c>
      <c r="C103" s="2" t="s">
        <v>45</v>
      </c>
      <c r="D103" s="2" t="s">
        <v>1</v>
      </c>
      <c r="E103" s="2" t="s">
        <v>199</v>
      </c>
      <c r="F103" s="2" t="s">
        <v>199</v>
      </c>
      <c r="G103" s="2" t="s">
        <v>1</v>
      </c>
      <c r="H103" s="2" t="s">
        <v>1</v>
      </c>
    </row>
    <row r="104" spans="1:8" hidden="1" x14ac:dyDescent="0.3">
      <c r="A104" s="2">
        <f t="shared" si="2"/>
        <v>103</v>
      </c>
      <c r="B104" s="2" t="s">
        <v>219</v>
      </c>
      <c r="C104" s="2" t="s">
        <v>31</v>
      </c>
      <c r="D104" s="2" t="s">
        <v>199</v>
      </c>
      <c r="E104" s="2" t="s">
        <v>1</v>
      </c>
      <c r="F104" s="2" t="s">
        <v>199</v>
      </c>
      <c r="G104" s="2" t="s">
        <v>1</v>
      </c>
      <c r="H104" s="2" t="s">
        <v>1</v>
      </c>
    </row>
    <row r="105" spans="1:8" hidden="1" x14ac:dyDescent="0.3">
      <c r="A105" s="2">
        <f t="shared" si="2"/>
        <v>104</v>
      </c>
      <c r="B105" s="2" t="s">
        <v>215</v>
      </c>
      <c r="C105" s="2" t="s">
        <v>49</v>
      </c>
      <c r="D105" s="2" t="s">
        <v>1</v>
      </c>
      <c r="E105" s="2" t="s">
        <v>199</v>
      </c>
      <c r="F105" s="2" t="s">
        <v>1</v>
      </c>
      <c r="G105" s="2" t="s">
        <v>199</v>
      </c>
      <c r="H105" s="2" t="s">
        <v>1</v>
      </c>
    </row>
    <row r="106" spans="1:8" hidden="1" x14ac:dyDescent="0.3">
      <c r="A106" s="2">
        <f t="shared" si="2"/>
        <v>105</v>
      </c>
      <c r="B106" s="2" t="s">
        <v>216</v>
      </c>
      <c r="C106" s="2" t="s">
        <v>49</v>
      </c>
      <c r="D106" s="2" t="s">
        <v>199</v>
      </c>
      <c r="E106" s="2" t="s">
        <v>1</v>
      </c>
      <c r="F106" s="2" t="s">
        <v>199</v>
      </c>
      <c r="G106" s="2" t="s">
        <v>1</v>
      </c>
      <c r="H106" s="2" t="s">
        <v>1</v>
      </c>
    </row>
    <row r="107" spans="1:8" hidden="1" x14ac:dyDescent="0.3">
      <c r="A107" s="2">
        <f t="shared" si="2"/>
        <v>106</v>
      </c>
      <c r="B107" s="2" t="s">
        <v>217</v>
      </c>
      <c r="C107" s="2" t="s">
        <v>38</v>
      </c>
      <c r="D107" s="2" t="s">
        <v>1</v>
      </c>
      <c r="E107" s="2" t="s">
        <v>199</v>
      </c>
      <c r="F107" s="2" t="s">
        <v>199</v>
      </c>
      <c r="G107" s="2" t="s">
        <v>199</v>
      </c>
      <c r="H107" s="2" t="s">
        <v>1</v>
      </c>
    </row>
    <row r="108" spans="1:8" x14ac:dyDescent="0.3">
      <c r="A108" s="2">
        <f t="shared" si="2"/>
        <v>107</v>
      </c>
      <c r="B108" s="2" t="s">
        <v>218</v>
      </c>
      <c r="C108" s="2" t="s">
        <v>35</v>
      </c>
      <c r="D108" s="2" t="s">
        <v>1</v>
      </c>
      <c r="E108" s="2" t="s">
        <v>199</v>
      </c>
      <c r="F108" s="2" t="s">
        <v>1</v>
      </c>
      <c r="G108" s="2" t="s">
        <v>199</v>
      </c>
      <c r="H108" s="2" t="s">
        <v>199</v>
      </c>
    </row>
    <row r="109" spans="1:8" hidden="1" x14ac:dyDescent="0.3">
      <c r="A109" s="2">
        <f t="shared" si="2"/>
        <v>108</v>
      </c>
      <c r="B109" s="2" t="s">
        <v>223</v>
      </c>
      <c r="C109" s="2" t="s">
        <v>45</v>
      </c>
      <c r="D109" s="2"/>
      <c r="E109" s="2"/>
      <c r="F109" s="2"/>
      <c r="G109" s="2"/>
      <c r="H109" s="2"/>
    </row>
    <row r="110" spans="1:8" hidden="1" x14ac:dyDescent="0.3">
      <c r="A110" s="2">
        <f t="shared" si="2"/>
        <v>109</v>
      </c>
      <c r="B110" s="2" t="s">
        <v>224</v>
      </c>
      <c r="C110" s="2" t="s">
        <v>47</v>
      </c>
      <c r="D110" s="2"/>
      <c r="E110" s="2"/>
      <c r="F110" s="2"/>
      <c r="G110" s="2"/>
      <c r="H110" s="2"/>
    </row>
    <row r="111" spans="1:8" hidden="1" x14ac:dyDescent="0.3">
      <c r="A111" s="2">
        <f t="shared" si="2"/>
        <v>110</v>
      </c>
      <c r="B111" s="2" t="s">
        <v>225</v>
      </c>
      <c r="C111" s="2" t="s">
        <v>47</v>
      </c>
      <c r="D111" s="2"/>
      <c r="E111" s="2"/>
      <c r="F111" s="2"/>
      <c r="G111" s="2"/>
      <c r="H111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7C8F-868B-4D70-A95C-33B2A3AC7973}">
  <sheetPr>
    <tabColor rgb="FF00B0F0"/>
  </sheetPr>
  <dimension ref="A1:D43"/>
  <sheetViews>
    <sheetView zoomScale="104" zoomScaleNormal="175" workbookViewId="0">
      <selection activeCell="D2" sqref="D2"/>
    </sheetView>
  </sheetViews>
  <sheetFormatPr defaultRowHeight="14.4" x14ac:dyDescent="0.3"/>
  <cols>
    <col min="1" max="4" width="13.5546875" customWidth="1"/>
    <col min="15" max="15" width="15" customWidth="1"/>
    <col min="16" max="18" width="11.33203125" customWidth="1"/>
  </cols>
  <sheetData>
    <row r="1" spans="1:4" x14ac:dyDescent="0.3">
      <c r="A1" s="8" t="s">
        <v>51</v>
      </c>
      <c r="B1" s="8" t="s">
        <v>28</v>
      </c>
      <c r="C1" s="8" t="s">
        <v>26</v>
      </c>
      <c r="D1" s="8" t="s">
        <v>29</v>
      </c>
    </row>
    <row r="2" spans="1:4" x14ac:dyDescent="0.3">
      <c r="A2" s="7" t="s">
        <v>17</v>
      </c>
      <c r="B2">
        <v>762.65599999999995</v>
      </c>
      <c r="C2">
        <v>26.068000000000001</v>
      </c>
      <c r="D2">
        <v>49.060600000000001</v>
      </c>
    </row>
    <row r="3" spans="1:4" x14ac:dyDescent="0.3">
      <c r="A3" s="7" t="s">
        <v>8</v>
      </c>
      <c r="B3">
        <v>1020.0524</v>
      </c>
      <c r="C3">
        <v>25.137</v>
      </c>
      <c r="D3">
        <v>62.223199999999999</v>
      </c>
    </row>
    <row r="4" spans="1:4" x14ac:dyDescent="0.3">
      <c r="A4" s="7" t="s">
        <v>9</v>
      </c>
      <c r="B4">
        <v>775.02233999999999</v>
      </c>
      <c r="C4">
        <v>21.013439999999999</v>
      </c>
      <c r="D4">
        <v>48.641249999999999</v>
      </c>
    </row>
    <row r="5" spans="1:4" x14ac:dyDescent="0.3">
      <c r="A5" s="7" t="s">
        <v>41</v>
      </c>
      <c r="B5">
        <v>911.79100000000005</v>
      </c>
      <c r="C5">
        <v>18.876480000000001</v>
      </c>
      <c r="D5">
        <v>56.080500000000001</v>
      </c>
    </row>
    <row r="7" spans="1:4" x14ac:dyDescent="0.3">
      <c r="A7" s="7" t="s">
        <v>52</v>
      </c>
      <c r="B7">
        <f>MIN(B2:B5)</f>
        <v>762.65599999999995</v>
      </c>
    </row>
    <row r="8" spans="1:4" x14ac:dyDescent="0.3">
      <c r="A8" s="7" t="s">
        <v>53</v>
      </c>
      <c r="B8">
        <f>MAX(B2:B5)</f>
        <v>1020.0524</v>
      </c>
    </row>
    <row r="9" spans="1:4" x14ac:dyDescent="0.3">
      <c r="A9" s="7" t="s">
        <v>54</v>
      </c>
      <c r="B9">
        <f>MIN(C2:C5)</f>
        <v>18.876480000000001</v>
      </c>
    </row>
    <row r="10" spans="1:4" x14ac:dyDescent="0.3">
      <c r="A10" s="7" t="s">
        <v>55</v>
      </c>
      <c r="B10">
        <f>MAX(C2:C5)</f>
        <v>26.068000000000001</v>
      </c>
    </row>
    <row r="11" spans="1:4" x14ac:dyDescent="0.3">
      <c r="A11" s="7" t="s">
        <v>56</v>
      </c>
      <c r="B11">
        <f>MIN(D2:D5)</f>
        <v>48.641249999999999</v>
      </c>
    </row>
    <row r="12" spans="1:4" x14ac:dyDescent="0.3">
      <c r="A12" s="7" t="s">
        <v>57</v>
      </c>
      <c r="B12">
        <f>MAX(D2:D5)</f>
        <v>62.223199999999999</v>
      </c>
    </row>
    <row r="16" spans="1:4" x14ac:dyDescent="0.3">
      <c r="A16" s="8" t="s">
        <v>51</v>
      </c>
      <c r="B16" s="8" t="s">
        <v>28</v>
      </c>
      <c r="C16" s="8" t="s">
        <v>26</v>
      </c>
      <c r="D16" s="8" t="s">
        <v>29</v>
      </c>
    </row>
    <row r="17" spans="1:4" x14ac:dyDescent="0.3">
      <c r="A17" s="7" t="s">
        <v>17</v>
      </c>
      <c r="B17">
        <f>(B2-$B$7)/($B$8-$B$7)</f>
        <v>0</v>
      </c>
      <c r="C17">
        <f>(C2-$B$9)/($B$10-$B$9)</f>
        <v>1</v>
      </c>
      <c r="D17">
        <f>(D2-$B$11)/($B$12-$B$11)</f>
        <v>3.0875537017880456E-2</v>
      </c>
    </row>
    <row r="18" spans="1:4" x14ac:dyDescent="0.3">
      <c r="A18" s="7" t="s">
        <v>8</v>
      </c>
      <c r="B18">
        <f t="shared" ref="B18:B20" si="0">(B3-$B$7)/($B$8-$B$7)</f>
        <v>1</v>
      </c>
      <c r="C18">
        <f t="shared" ref="C18:C20" si="1">(C3-$B$9)/($B$10-$B$9)</f>
        <v>0.87054197165550529</v>
      </c>
      <c r="D18">
        <f t="shared" ref="D18:D20" si="2">(D3-$B$11)/($B$12-$B$11)</f>
        <v>1</v>
      </c>
    </row>
    <row r="19" spans="1:4" x14ac:dyDescent="0.3">
      <c r="A19" s="7" t="s">
        <v>9</v>
      </c>
      <c r="B19">
        <f t="shared" si="0"/>
        <v>4.8043950886648111E-2</v>
      </c>
      <c r="C19">
        <f t="shared" si="1"/>
        <v>0.29714997663915255</v>
      </c>
      <c r="D19">
        <f t="shared" si="2"/>
        <v>0</v>
      </c>
    </row>
    <row r="20" spans="1:4" x14ac:dyDescent="0.3">
      <c r="A20" s="7" t="s">
        <v>41</v>
      </c>
      <c r="B20">
        <f t="shared" si="0"/>
        <v>0.57939815786079396</v>
      </c>
      <c r="C20">
        <f t="shared" si="1"/>
        <v>0</v>
      </c>
      <c r="D20">
        <f t="shared" si="2"/>
        <v>0.5477306277817251</v>
      </c>
    </row>
    <row r="27" spans="1:4" x14ac:dyDescent="0.3">
      <c r="A27" t="s">
        <v>61</v>
      </c>
    </row>
    <row r="28" spans="1:4" x14ac:dyDescent="0.3">
      <c r="A28" s="8" t="s">
        <v>51</v>
      </c>
      <c r="B28" s="8" t="s">
        <v>28</v>
      </c>
      <c r="C28" s="8" t="s">
        <v>26</v>
      </c>
      <c r="D28" s="8" t="s">
        <v>29</v>
      </c>
    </row>
    <row r="29" spans="1:4" x14ac:dyDescent="0.3">
      <c r="A29" s="7" t="s">
        <v>16</v>
      </c>
      <c r="B29">
        <v>991.45280000000002</v>
      </c>
      <c r="C29">
        <v>27.185199999999998</v>
      </c>
      <c r="D29">
        <v>62.223199999999999</v>
      </c>
    </row>
    <row r="30" spans="1:4" x14ac:dyDescent="0.3">
      <c r="A30" s="7" t="s">
        <v>15</v>
      </c>
      <c r="B30">
        <v>1067.184</v>
      </c>
      <c r="C30">
        <v>23.274999999999999</v>
      </c>
      <c r="D30">
        <v>59.83</v>
      </c>
    </row>
    <row r="31" spans="1:4" x14ac:dyDescent="0.3">
      <c r="A31" s="7" t="s">
        <v>8</v>
      </c>
      <c r="B31">
        <v>1020.0524</v>
      </c>
      <c r="C31">
        <v>25.137</v>
      </c>
      <c r="D31">
        <v>62.223199999999999</v>
      </c>
    </row>
    <row r="32" spans="1:4" x14ac:dyDescent="0.3">
      <c r="A32" s="7" t="s">
        <v>13</v>
      </c>
      <c r="B32">
        <v>806.50869999999998</v>
      </c>
      <c r="C32">
        <v>23.274999999999999</v>
      </c>
      <c r="D32">
        <v>49.060600000000001</v>
      </c>
    </row>
    <row r="34" spans="1:4" x14ac:dyDescent="0.3">
      <c r="A34" s="7" t="s">
        <v>58</v>
      </c>
      <c r="B34">
        <f>MIN(B29:B32)</f>
        <v>806.50869999999998</v>
      </c>
      <c r="C34">
        <f t="shared" ref="C34:D34" si="3">MIN(C29:C32)</f>
        <v>23.274999999999999</v>
      </c>
      <c r="D34">
        <f t="shared" si="3"/>
        <v>49.060600000000001</v>
      </c>
    </row>
    <row r="35" spans="1:4" x14ac:dyDescent="0.3">
      <c r="A35" s="7" t="s">
        <v>59</v>
      </c>
      <c r="B35">
        <f>MAX(B29:B32)</f>
        <v>1067.184</v>
      </c>
      <c r="C35">
        <f t="shared" ref="C35:D35" si="4">MAX(C29:C32)</f>
        <v>27.185199999999998</v>
      </c>
      <c r="D35">
        <f t="shared" si="4"/>
        <v>62.223199999999999</v>
      </c>
    </row>
    <row r="38" spans="1:4" x14ac:dyDescent="0.3">
      <c r="A38" s="26" t="s">
        <v>60</v>
      </c>
      <c r="B38" s="26"/>
      <c r="C38" s="26"/>
      <c r="D38" s="26"/>
    </row>
    <row r="39" spans="1:4" x14ac:dyDescent="0.3">
      <c r="A39" s="8" t="s">
        <v>51</v>
      </c>
      <c r="B39" s="8" t="s">
        <v>28</v>
      </c>
      <c r="C39" s="8" t="s">
        <v>26</v>
      </c>
      <c r="D39" s="8" t="s">
        <v>29</v>
      </c>
    </row>
    <row r="40" spans="1:4" x14ac:dyDescent="0.3">
      <c r="A40" s="7" t="s">
        <v>16</v>
      </c>
      <c r="B40">
        <f>(B29-B$34)/(B$35-B$34)</f>
        <v>0.70948072180218091</v>
      </c>
      <c r="C40">
        <f t="shared" ref="C40:D40" si="5">(C29-C$34)/(C$35-C$34)</f>
        <v>1</v>
      </c>
      <c r="D40">
        <f t="shared" si="5"/>
        <v>1</v>
      </c>
    </row>
    <row r="41" spans="1:4" x14ac:dyDescent="0.3">
      <c r="A41" s="7" t="s">
        <v>15</v>
      </c>
      <c r="B41">
        <f t="shared" ref="B41:D43" si="6">(B30-B$34)/(B$35-B$34)</f>
        <v>1</v>
      </c>
      <c r="C41">
        <f t="shared" si="6"/>
        <v>0</v>
      </c>
      <c r="D41">
        <f t="shared" si="6"/>
        <v>0.81818181818181812</v>
      </c>
    </row>
    <row r="42" spans="1:4" x14ac:dyDescent="0.3">
      <c r="A42" s="7" t="s">
        <v>8</v>
      </c>
      <c r="B42">
        <f t="shared" si="6"/>
        <v>0.8191942236184252</v>
      </c>
      <c r="C42">
        <f t="shared" si="6"/>
        <v>0.47619047619047672</v>
      </c>
      <c r="D42">
        <f t="shared" si="6"/>
        <v>1</v>
      </c>
    </row>
    <row r="43" spans="1:4" x14ac:dyDescent="0.3">
      <c r="A43" s="7" t="s">
        <v>13</v>
      </c>
      <c r="B43">
        <f t="shared" si="6"/>
        <v>0</v>
      </c>
      <c r="C43">
        <f t="shared" si="6"/>
        <v>0</v>
      </c>
      <c r="D43">
        <f t="shared" si="6"/>
        <v>0</v>
      </c>
    </row>
  </sheetData>
  <mergeCells count="1">
    <mergeCell ref="A38:D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(Trial)</vt:lpstr>
      <vt:lpstr>DB_CHARACTER</vt:lpstr>
      <vt:lpstr>DB_EReac</vt:lpstr>
      <vt:lpstr>DB_ROLE</vt:lpstr>
      <vt:lpstr>Radar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Jang</dc:creator>
  <cp:lastModifiedBy>Jang Jang</cp:lastModifiedBy>
  <cp:lastPrinted>2025-02-06T13:31:33Z</cp:lastPrinted>
  <dcterms:created xsi:type="dcterms:W3CDTF">2025-02-04T09:31:25Z</dcterms:created>
  <dcterms:modified xsi:type="dcterms:W3CDTF">2026-02-03T09:18:04Z</dcterms:modified>
</cp:coreProperties>
</file>